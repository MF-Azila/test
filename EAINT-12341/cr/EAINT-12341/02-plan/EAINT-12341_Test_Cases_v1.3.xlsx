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Test Progress" sheetId="2" state="visible" r:id="rId2"/>
    <sheet name="Test Cases" sheetId="3" state="visible" r:id="rId3"/>
    <sheet name="Test Data &amp; Runs" sheetId="4" state="visible" r:id="rId4"/>
    <sheet name="Expected Templates" sheetId="5" state="visible" r:id="rId5"/>
    <sheet name="Traceability" sheetId="6" state="visible" r:id="rId6"/>
    <sheet name="Open Questions" sheetId="7" state="visible" r:id="rId7"/>
    <sheet name="Change Log v1.1-v1.3" sheetId="8" state="visible" r:id="rId8"/>
    <sheet name="Retired (v1.1)" sheetId="9" state="visible" r:id="rId9"/>
  </sheets>
  <definedNames>
    <definedName name="_xlnm._FilterDatabase" localSheetId="2" hidden="1">'Test Cases'!$A$1:$S$155</definedName>
  </definedNames>
  <calcPr calcId="124519" fullCalcOnLoad="1"/>
</workbook>
</file>

<file path=xl/styles.xml><?xml version="1.0" encoding="utf-8"?>
<styleSheet xmlns="http://schemas.openxmlformats.org/spreadsheetml/2006/main">
  <numFmts count="1">
    <numFmt numFmtId="164" formatCode="DD/MM/YYYY"/>
  </numFmts>
  <fonts count="12">
    <font>
      <name val="Calibri"/>
      <family val="2"/>
      <color theme="1"/>
      <sz val="11"/>
      <scheme val="minor"/>
    </font>
    <font>
      <name val="Arial"/>
      <b val="1"/>
      <sz val="14"/>
    </font>
    <font>
      <name val="Arial"/>
      <b val="1"/>
      <sz val="10"/>
    </font>
    <font>
      <name val="Arial"/>
      <sz val="10"/>
    </font>
    <font>
      <name val="Arial"/>
      <b val="1"/>
      <color rgb="00FFFFFF"/>
      <sz val="10"/>
    </font>
    <font>
      <name val="Arial"/>
      <b val="1"/>
      <color rgb="00006100"/>
      <sz val="10"/>
    </font>
    <font>
      <name val="Arial"/>
      <b val="1"/>
      <color rgb="009C0006"/>
      <sz val="10"/>
    </font>
    <font>
      <name val="Arial"/>
      <b val="1"/>
      <color rgb="009C5700"/>
      <sz val="10"/>
    </font>
    <font>
      <name val="Arial"/>
      <b val="1"/>
      <color rgb="00595959"/>
      <sz val="10"/>
    </font>
    <font>
      <name val="Arial"/>
      <b val="1"/>
      <color rgb="00FFFFFF"/>
      <sz val="11"/>
    </font>
    <font>
      <name val="Arial"/>
      <b val="1"/>
      <sz val="12"/>
    </font>
    <font>
      <name val="Arial"/>
      <i val="1"/>
      <sz val="10"/>
    </font>
  </fonts>
  <fills count="22">
    <fill>
      <patternFill/>
    </fill>
    <fill>
      <patternFill patternType="gray125"/>
    </fill>
    <fill>
      <patternFill patternType="solid">
        <fgColor rgb="00D9D9D9"/>
      </patternFill>
    </fill>
    <fill>
      <patternFill patternType="solid">
        <fgColor rgb="00375623"/>
      </patternFill>
    </fill>
    <fill>
      <patternFill patternType="solid">
        <fgColor rgb="00E2EFDA"/>
      </patternFill>
    </fill>
    <fill>
      <patternFill patternType="solid">
        <fgColor rgb="001F4E78"/>
      </patternFill>
    </fill>
    <fill>
      <patternFill patternType="solid">
        <fgColor rgb="00DDEBF7"/>
      </patternFill>
    </fill>
    <fill>
      <patternFill patternType="solid">
        <fgColor rgb="007030A0"/>
      </patternFill>
    </fill>
    <fill>
      <patternFill patternType="solid">
        <fgColor rgb="00EADCF4"/>
      </patternFill>
    </fill>
    <fill>
      <patternFill patternType="solid">
        <fgColor rgb="00C65911"/>
      </patternFill>
    </fill>
    <fill>
      <patternFill patternType="solid">
        <fgColor rgb="00FCE4D6"/>
      </patternFill>
    </fill>
    <fill>
      <patternFill patternType="solid">
        <fgColor rgb="00833C0B"/>
      </patternFill>
    </fill>
    <fill>
      <patternFill patternType="solid">
        <fgColor rgb="00F8CBAD"/>
      </patternFill>
    </fill>
    <fill>
      <patternFill patternType="solid">
        <fgColor rgb="00BDD7EE"/>
      </patternFill>
    </fill>
    <fill>
      <patternFill patternType="solid">
        <fgColor rgb="00C6EFCE"/>
      </patternFill>
    </fill>
    <fill>
      <patternFill patternType="solid">
        <fgColor rgb="00E4DFEC"/>
      </patternFill>
    </fill>
    <fill>
      <patternFill patternType="solid">
        <fgColor rgb="00FFE699"/>
      </patternFill>
    </fill>
    <fill>
      <patternFill patternType="solid">
        <fgColor rgb="00FFC7CE"/>
      </patternFill>
    </fill>
    <fill>
      <patternFill patternType="solid">
        <fgColor rgb="00FFEB9C"/>
      </patternFill>
    </fill>
    <fill>
      <patternFill patternType="solid">
        <fgColor rgb="00F2F2F2"/>
      </patternFill>
    </fill>
    <fill>
      <patternFill patternType="solid">
        <fgColor rgb="00FF7C80"/>
      </patternFill>
    </fill>
    <fill>
      <patternFill patternType="solid">
        <fgColor rgb="00404040"/>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64">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vertical="top" wrapText="1"/>
    </xf>
    <xf numFmtId="0" fontId="3" fillId="0" borderId="1" applyAlignment="1" pivotButton="0" quotePrefix="0" xfId="0">
      <alignment vertical="top" wrapText="1"/>
    </xf>
    <xf numFmtId="0" fontId="2" fillId="0" borderId="0" applyAlignment="1" pivotButton="0" quotePrefix="0" xfId="0">
      <alignment vertical="top" wrapText="1"/>
    </xf>
    <xf numFmtId="0" fontId="4"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3" fillId="6" borderId="1" applyAlignment="1" pivotButton="0" quotePrefix="0" xfId="0">
      <alignment vertical="top" wrapText="1"/>
    </xf>
    <xf numFmtId="0" fontId="4" fillId="7" borderId="1" applyAlignment="1" pivotButton="0" quotePrefix="0" xfId="0">
      <alignment vertical="top" wrapText="1"/>
    </xf>
    <xf numFmtId="0" fontId="3" fillId="8" borderId="1" applyAlignment="1" pivotButton="0" quotePrefix="0" xfId="0">
      <alignment vertical="top" wrapText="1"/>
    </xf>
    <xf numFmtId="0" fontId="4" fillId="9" borderId="1" applyAlignment="1" pivotButton="0" quotePrefix="0" xfId="0">
      <alignment vertical="top" wrapText="1"/>
    </xf>
    <xf numFmtId="0" fontId="3" fillId="10" borderId="1" applyAlignment="1" pivotButton="0" quotePrefix="0" xfId="0">
      <alignment vertical="top" wrapText="1"/>
    </xf>
    <xf numFmtId="0" fontId="4" fillId="11" borderId="1" applyAlignment="1" pivotButton="0" quotePrefix="0" xfId="0">
      <alignment vertical="top" wrapText="1"/>
    </xf>
    <xf numFmtId="0" fontId="3" fillId="12" borderId="1" applyAlignment="1" pivotButton="0" quotePrefix="0" xfId="0">
      <alignment vertical="top" wrapText="1"/>
    </xf>
    <xf numFmtId="0" fontId="3" fillId="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0" fontId="3" fillId="16" borderId="1" applyAlignment="1" pivotButton="0" quotePrefix="0" xfId="0">
      <alignment vertical="top" wrapText="1"/>
    </xf>
    <xf numFmtId="0" fontId="5" fillId="14" borderId="1" applyAlignment="1" pivotButton="0" quotePrefix="0" xfId="0">
      <alignment vertical="top" wrapText="1"/>
    </xf>
    <xf numFmtId="0" fontId="6" fillId="17" borderId="1" applyAlignment="1" pivotButton="0" quotePrefix="0" xfId="0">
      <alignment vertical="top" wrapText="1"/>
    </xf>
    <xf numFmtId="0" fontId="7" fillId="18" borderId="1" applyAlignment="1" pivotButton="0" quotePrefix="0" xfId="0">
      <alignment vertical="top" wrapText="1"/>
    </xf>
    <xf numFmtId="0" fontId="8" fillId="19" borderId="1" applyAlignment="1" pivotButton="0" quotePrefix="0" xfId="0">
      <alignment vertical="top" wrapText="1"/>
    </xf>
    <xf numFmtId="0" fontId="8" fillId="2" borderId="1" applyAlignment="1" pivotButton="0" quotePrefix="0" xfId="0">
      <alignment vertical="top" wrapText="1"/>
    </xf>
    <xf numFmtId="0" fontId="2" fillId="20" borderId="1" applyAlignment="1" pivotButton="0" quotePrefix="0" xfId="0">
      <alignment vertical="top" wrapText="1"/>
    </xf>
    <xf numFmtId="0" fontId="10" fillId="0" borderId="0" applyAlignment="1" pivotButton="0" quotePrefix="0" xfId="0">
      <alignment vertical="top" wrapText="1"/>
    </xf>
    <xf numFmtId="0" fontId="4" fillId="21" borderId="1" applyAlignment="1" pivotButton="0" quotePrefix="0" xfId="0">
      <alignment vertical="top" wrapText="1"/>
    </xf>
    <xf numFmtId="0" fontId="4" fillId="21"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14" borderId="1"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1" applyAlignment="1" pivotButton="0" quotePrefix="0" xfId="0">
      <alignment horizontal="center" vertical="center" wrapText="1"/>
    </xf>
    <xf numFmtId="0" fontId="3" fillId="19" borderId="1" applyAlignment="1" pivotButton="0" quotePrefix="0" xfId="0">
      <alignment horizontal="center" vertical="center" wrapText="1"/>
    </xf>
    <xf numFmtId="0" fontId="3" fillId="2" borderId="1" applyAlignment="1" pivotButton="0" quotePrefix="0" xfId="0">
      <alignment horizontal="center" vertical="center" wrapText="1"/>
    </xf>
    <xf numFmtId="9" fontId="3" fillId="0" borderId="1" applyAlignment="1" pivotButton="0" quotePrefix="0" xfId="0">
      <alignment horizontal="center" vertical="center" wrapText="1"/>
    </xf>
    <xf numFmtId="0" fontId="2" fillId="2" borderId="1" applyAlignment="1" pivotButton="0" quotePrefix="0" xfId="0">
      <alignment horizontal="center" vertical="center" wrapText="1"/>
    </xf>
    <xf numFmtId="9" fontId="2" fillId="2" borderId="1" applyAlignment="1" pivotButton="0" quotePrefix="0" xfId="0">
      <alignment horizontal="center" vertical="center" wrapText="1"/>
    </xf>
    <xf numFmtId="0" fontId="2" fillId="0"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2" fillId="15" borderId="1" applyAlignment="1" pivotButton="0" quotePrefix="0" xfId="0">
      <alignment vertical="top" wrapText="1"/>
    </xf>
    <xf numFmtId="0" fontId="2" fillId="16" borderId="1" applyAlignment="1" pivotButton="0" quotePrefix="0" xfId="0">
      <alignment vertical="top" wrapText="1"/>
    </xf>
    <xf numFmtId="0" fontId="11" fillId="0" borderId="0" applyAlignment="1" pivotButton="0" quotePrefix="0" xfId="0">
      <alignment vertical="top" wrapText="1"/>
    </xf>
    <xf numFmtId="0" fontId="9"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horizontal="center" vertical="center" wrapText="1"/>
    </xf>
    <xf numFmtId="164" fontId="3" fillId="0"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4" borderId="1" applyAlignment="1" pivotButton="0" quotePrefix="0" xfId="0">
      <alignment horizontal="center" vertical="center" wrapText="1"/>
    </xf>
    <xf numFmtId="0" fontId="2" fillId="15" borderId="1" applyAlignment="1" pivotButton="0" quotePrefix="0" xfId="0">
      <alignment horizontal="center" vertical="center" wrapText="1"/>
    </xf>
    <xf numFmtId="164" fontId="0" fillId="0" borderId="0" pivotButton="0" quotePrefix="0" xfId="0"/>
    <xf numFmtId="0" fontId="9" fillId="5" borderId="1" applyAlignment="1" pivotButton="0" quotePrefix="0" xfId="0">
      <alignment vertical="top" wrapText="1"/>
    </xf>
    <xf numFmtId="0" fontId="2" fillId="6" borderId="1" applyAlignment="1" pivotButton="0" quotePrefix="0" xfId="0">
      <alignment vertical="top" wrapText="1"/>
    </xf>
    <xf numFmtId="0" fontId="9" fillId="7" borderId="1" applyAlignment="1" pivotButton="0" quotePrefix="0" xfId="0">
      <alignment vertical="top" wrapText="1"/>
    </xf>
    <xf numFmtId="0" fontId="2" fillId="8" borderId="1" applyAlignment="1" pivotButton="0" quotePrefix="0" xfId="0">
      <alignment vertical="top" wrapText="1"/>
    </xf>
    <xf numFmtId="0" fontId="9" fillId="9" borderId="1" applyAlignment="1" pivotButton="0" quotePrefix="0" xfId="0">
      <alignment vertical="top" wrapText="1"/>
    </xf>
    <xf numFmtId="0" fontId="2" fillId="10" borderId="1" applyAlignment="1" pivotButton="0" quotePrefix="0" xfId="0">
      <alignment vertical="top" wrapText="1"/>
    </xf>
    <xf numFmtId="0" fontId="2" fillId="20" borderId="1" applyAlignment="1" pivotButton="0" quotePrefix="0" xfId="0">
      <alignment horizontal="center" vertical="center" wrapText="1"/>
    </xf>
    <xf numFmtId="0" fontId="9" fillId="11" borderId="1" applyAlignment="1" pivotButton="0" quotePrefix="0" xfId="0">
      <alignment vertical="top" wrapText="1"/>
    </xf>
    <xf numFmtId="0" fontId="2" fillId="12" borderId="1" applyAlignment="1" pivotButton="0" quotePrefix="0" xfId="0">
      <alignment vertical="top" wrapText="1"/>
    </xf>
    <xf numFmtId="0" fontId="3" fillId="17" borderId="1" applyAlignment="1" pivotButton="0" quotePrefix="0" xfId="0">
      <alignment vertical="top" wrapText="1"/>
    </xf>
    <xf numFmtId="0" fontId="3" fillId="18" borderId="1" applyAlignment="1" pivotButton="0" quotePrefix="0" xfId="0">
      <alignment vertical="top" wrapText="1"/>
    </xf>
  </cellXfs>
  <cellStyles count="1">
    <cellStyle name="Normal" xfId="0" builtinId="0" hidden="0"/>
  </cellStyles>
  <dxfs count="6">
    <dxf>
      <font>
        <name val="Arial"/>
        <b val="1"/>
        <color rgb="00006100"/>
      </font>
      <fill>
        <patternFill patternType="solid">
          <fgColor rgb="00C6EFCE"/>
        </patternFill>
      </fill>
    </dxf>
    <dxf>
      <font>
        <name val="Arial"/>
        <b val="1"/>
        <color rgb="009C0006"/>
      </font>
      <fill>
        <patternFill patternType="solid">
          <fgColor rgb="00FFC7CE"/>
        </patternFill>
      </fill>
    </dxf>
    <dxf>
      <font>
        <name val="Arial"/>
        <b val="1"/>
        <color rgb="009C5700"/>
      </font>
      <fill>
        <patternFill patternType="solid">
          <fgColor rgb="00FFEB9C"/>
        </patternFill>
      </fill>
    </dxf>
    <dxf>
      <font>
        <name val="Arial"/>
        <b val="1"/>
        <color rgb="00595959"/>
      </font>
      <fill>
        <patternFill patternType="solid">
          <fgColor rgb="00F2F2F2"/>
        </patternFill>
      </fill>
    </dxf>
    <dxf>
      <font>
        <name val="Arial"/>
        <b val="1"/>
        <color rgb="00595959"/>
      </font>
      <fill>
        <patternFill patternType="solid">
          <fgColor rgb="00D9D9D9"/>
        </patternFill>
      </fill>
    </dxf>
    <dxf>
      <fill>
        <patternFill patternType="solid">
          <fgColor rgb="00FF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zoomScale="90" workbookViewId="0">
      <selection activeCell="A1" sqref="A1"/>
    </sheetView>
  </sheetViews>
  <sheetFormatPr baseColWidth="8" defaultRowHeight="15"/>
  <cols>
    <col width="26" customWidth="1" min="1" max="1"/>
    <col width="110" customWidth="1" min="2" max="2"/>
  </cols>
  <sheetData>
    <row r="1">
      <c r="A1" s="1" t="inlineStr">
        <is>
          <t>EAINT-12341 — Test Cases (SRD v1.3)</t>
        </is>
      </c>
    </row>
    <row r="3">
      <c r="A3" s="2" t="inlineStr">
        <is>
          <t>Ticket</t>
        </is>
      </c>
      <c r="B3" s="3" t="inlineStr">
        <is>
          <t>EAINT-12341 — [eAuto-BackEnd &amp; UCD] Replace Approved Application Email with New Emails to UCD and RHB Support</t>
        </is>
      </c>
    </row>
    <row r="4">
      <c r="A4" s="2" t="inlineStr">
        <is>
          <t>Link</t>
        </is>
      </c>
      <c r="B4" s="3" t="inlineStr">
        <is>
          <t>https://mfservices.atlassian.net/browse/EAINT-12341</t>
        </is>
      </c>
    </row>
    <row r="5">
      <c r="A5" s="2" t="inlineStr">
        <is>
          <t>Baseline</t>
        </is>
      </c>
      <c r="B5" s="3" t="inlineStr">
        <is>
          <t>SRD_EAINT-12341_v1.3_20260929 (v1.3, 29.09.2026, Chee Mei Jia) · Email Template V3.0 (29.09.2026) · Appointment Letter Template v2.0 (18.09.2026)</t>
        </is>
      </c>
    </row>
    <row r="6">
      <c r="A6" s="2" t="inlineStr">
        <is>
          <t>Release</t>
        </is>
      </c>
      <c r="B6" s="3" t="inlineStr">
        <is>
          <t>S34.X-20261008 (08.10.2026)</t>
        </is>
      </c>
    </row>
    <row r="7">
      <c r="A7" s="2" t="inlineStr">
        <is>
          <t>Environment</t>
        </is>
      </c>
      <c r="B7" s="3" t="inlineStr">
        <is>
          <t>Staging — https://staging.eauto.my (VPN). Emails checked in Mailtrap only.</t>
        </is>
      </c>
    </row>
    <row r="8">
      <c r="A8" s="2" t="inlineStr">
        <is>
          <t>QA</t>
        </is>
      </c>
      <c r="B8" s="3" t="inlineStr">
        <is>
          <t>Siti Nur Azila, Muhammad Amirul Azfar</t>
        </is>
      </c>
    </row>
    <row r="9">
      <c r="A9" s="2" t="inlineStr">
        <is>
          <t>Objective</t>
        </is>
      </c>
      <c r="B9" s="3" t="inlineStr">
        <is>
          <t>On Application approval, every UCD gets ONE combined RHB Account Registration Guideline email (online + branch options) with the Appointment Letter attached, whatever its business type, number of directors or nationality; and RHB Support gets the Appointment Letter email with the UCD and apply@eauto.my copied.</t>
        </is>
      </c>
    </row>
    <row r="10">
      <c r="A10" s="2" t="inlineStr">
        <is>
          <t>How the sheet is ordered</t>
        </is>
      </c>
      <c r="B10" s="3" t="inlineStr">
        <is>
          <t>Sheet 'Test Cases' is sorted by BUSINESS TYPE (colour band), then by RUN (CH1, CH2…), then by test area. Test case id = &lt;run&gt;-&lt;number&gt;, e.g. CH1-07. 'xx-07' in notes means test 07 of every run.</t>
        </is>
      </c>
    </row>
    <row r="11">
      <c r="A11" s="2" t="inlineStr">
        <is>
          <t>How to execute</t>
        </is>
      </c>
      <c r="B11" s="3" t="inlineStr">
        <is>
          <t>1) Do the run's '-01' (test data) and '-02' (robot run). 2) Check the emails and letter for its other test cases. 3) Fill Actual Result, Test Result (dropdown), Tested By, Test Date, Evidence, Defect ID, Remarks. Progress updates by itself in sheet 'Test Progress'.</t>
        </is>
      </c>
    </row>
    <row r="13">
      <c r="A13" s="4" t="inlineStr">
        <is>
          <t>Legend — business type (band colour)</t>
        </is>
      </c>
    </row>
    <row r="14">
      <c r="A14" s="5" t="inlineStr">
        <is>
          <t>Sdn Bhd / Bhd</t>
        </is>
      </c>
      <c r="B14" s="6" t="inlineStr">
        <is>
          <t>CH1, CH2</t>
        </is>
      </c>
    </row>
    <row r="15">
      <c r="A15" s="7" t="inlineStr">
        <is>
          <t>Sole Proprietorship / Partnership</t>
        </is>
      </c>
      <c r="B15" s="8" t="inlineStr">
        <is>
          <t>CH3, CH4, CH5</t>
        </is>
      </c>
    </row>
    <row r="16">
      <c r="A16" s="9" t="inlineStr">
        <is>
          <t>LLP</t>
        </is>
      </c>
      <c r="B16" s="10" t="inlineStr">
        <is>
          <t>CH6</t>
        </is>
      </c>
    </row>
    <row r="17">
      <c r="A17" s="11" t="inlineStr">
        <is>
          <t>Business Trading (Sabah)</t>
        </is>
      </c>
      <c r="B17" s="12" t="inlineStr">
        <is>
          <t>CH7</t>
        </is>
      </c>
    </row>
    <row r="18">
      <c r="A18" s="13" t="inlineStr">
        <is>
          <t>Business Trading (Sarawak)</t>
        </is>
      </c>
      <c r="B18" s="14" t="inlineStr">
        <is>
          <t>CH8</t>
        </is>
      </c>
    </row>
    <row r="20">
      <c r="A20" s="4" t="inlineStr">
        <is>
          <t>Legend — test area (column 'Test Area')</t>
        </is>
      </c>
    </row>
    <row r="21">
      <c r="A21" s="15" t="inlineStr">
        <is>
          <t>Setup &amp; Flow</t>
        </is>
      </c>
      <c r="B21" s="3" t="inlineStr">
        <is>
          <t>Test data in eSim / sheet, and the robot run up to approval.</t>
        </is>
      </c>
    </row>
    <row r="22">
      <c r="A22" s="16" t="inlineStr">
        <is>
          <t>Guideline Email (UCD)</t>
        </is>
      </c>
      <c r="B22" s="3" t="inlineStr">
        <is>
          <t>Email Template 1 (combined) to the UCD.</t>
        </is>
      </c>
    </row>
    <row r="23">
      <c r="A23" s="17" t="inlineStr">
        <is>
          <t>RHB Support Email</t>
        </is>
      </c>
      <c r="B23" s="3" t="inlineStr">
        <is>
          <t>Email Template 3 to BIS.Support@rhbgroup.com.</t>
        </is>
      </c>
    </row>
    <row r="24">
      <c r="A24" s="18" t="inlineStr">
        <is>
          <t>Appointment Letter</t>
        </is>
      </c>
      <c r="B24" s="3" t="inlineStr">
        <is>
          <t>The generated letter attached to both emails.</t>
        </is>
      </c>
    </row>
    <row r="25">
      <c r="A25" s="19" t="inlineStr">
        <is>
          <t>Negative &amp; Regression</t>
        </is>
      </c>
      <c r="B25" s="3" t="inlineStr">
        <is>
          <t>Things that must NOT happen, and existing behaviour that must not change.</t>
        </is>
      </c>
    </row>
    <row r="27">
      <c r="A27" s="4" t="inlineStr">
        <is>
          <t>Legend — test result</t>
        </is>
      </c>
    </row>
    <row r="28">
      <c r="A28" s="20" t="inlineStr">
        <is>
          <t>Pass</t>
        </is>
      </c>
      <c r="B28" s="3" t="inlineStr">
        <is>
          <t>Actual = expected.</t>
        </is>
      </c>
    </row>
    <row r="29">
      <c r="A29" s="21" t="inlineStr">
        <is>
          <t>Fail</t>
        </is>
      </c>
      <c r="B29" s="3" t="inlineStr">
        <is>
          <t>Actual ≠ expected — raise a QA issue and put its id in Defect ID.</t>
        </is>
      </c>
    </row>
    <row r="30">
      <c r="A30" s="22" t="inlineStr">
        <is>
          <t>Blocked</t>
        </is>
      </c>
      <c r="B30" s="3" t="inlineStr">
        <is>
          <t>Cannot be executed (environment, data, open question).</t>
        </is>
      </c>
    </row>
    <row r="31">
      <c r="A31" s="23" t="inlineStr">
        <is>
          <t>Not Run</t>
        </is>
      </c>
      <c r="B31" s="3" t="inlineStr">
        <is>
          <t>Not executed yet (default).</t>
        </is>
      </c>
    </row>
    <row r="32">
      <c r="A32" s="24" t="inlineStr">
        <is>
          <t>N/A</t>
        </is>
      </c>
      <c r="B32" s="3" t="inlineStr">
        <is>
          <t>Does not apply (explain in Remarks).</t>
        </is>
      </c>
    </row>
    <row r="33">
      <c r="A33" s="25" t="inlineStr">
        <is>
          <t>TC id in red</t>
        </is>
      </c>
      <c r="B33" s="3" t="inlineStr">
        <is>
          <t>Expected result still pending confirmation — see the question in Remarks and sheet 'Open Questions'.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zoomScale="90" workbookViewId="0">
      <pane ySplit="2" topLeftCell="A3" activePane="bottomLeft" state="frozen"/>
      <selection pane="bottomLeft" activeCell="A1" sqref="A1"/>
    </sheetView>
  </sheetViews>
  <sheetFormatPr baseColWidth="8" defaultRowHeight="15"/>
  <cols>
    <col width="34" customWidth="1" min="1" max="1"/>
    <col width="9" customWidth="1" min="2" max="2"/>
    <col width="9" customWidth="1" min="3" max="3"/>
    <col width="9" customWidth="1" min="4" max="4"/>
    <col width="9" customWidth="1" min="5" max="5"/>
    <col width="9" customWidth="1" min="6" max="6"/>
    <col width="9" customWidth="1" min="7" max="7"/>
    <col width="12" customWidth="1" min="8" max="8"/>
    <col width="12" customWidth="1" min="9" max="9"/>
  </cols>
  <sheetData>
    <row r="1">
      <c r="A1" s="26" t="inlineStr">
        <is>
          <t>Test Progress — updates by itself from sheet 'Test Cases' (column 'Test Result')</t>
        </is>
      </c>
    </row>
    <row r="3">
      <c r="A3" s="27" t="inlineStr">
        <is>
          <t>By business type</t>
        </is>
      </c>
      <c r="B3" s="28" t="inlineStr">
        <is>
          <t>Total</t>
        </is>
      </c>
      <c r="C3" s="28" t="inlineStr">
        <is>
          <t>Pass</t>
        </is>
      </c>
      <c r="D3" s="28" t="inlineStr">
        <is>
          <t>Fail</t>
        </is>
      </c>
      <c r="E3" s="28" t="inlineStr">
        <is>
          <t>Blocked</t>
        </is>
      </c>
      <c r="F3" s="28" t="inlineStr">
        <is>
          <t>Not Run</t>
        </is>
      </c>
      <c r="G3" s="28" t="inlineStr">
        <is>
          <t>N/A</t>
        </is>
      </c>
      <c r="H3" s="28" t="inlineStr">
        <is>
          <t>Executed %</t>
        </is>
      </c>
      <c r="I3" s="28" t="inlineStr">
        <is>
          <t>Pass %</t>
        </is>
      </c>
    </row>
    <row r="4">
      <c r="A4" s="5" t="inlineStr">
        <is>
          <t>Sdn Bhd / Bhd</t>
        </is>
      </c>
      <c r="B4" s="29">
        <f>COUNTIFS('Test Cases'!$C$4:$C$155,"Sdn Bhd / Bhd")</f>
        <v/>
      </c>
      <c r="C4" s="30">
        <f>COUNTIFS('Test Cases'!$C$4:$C$155,"Sdn Bhd / Bhd",'Test Cases'!$N$4:$N$155,"Pass")</f>
        <v/>
      </c>
      <c r="D4" s="31">
        <f>COUNTIFS('Test Cases'!$C$4:$C$155,"Sdn Bhd / Bhd",'Test Cases'!$N$4:$N$155,"Fail")</f>
        <v/>
      </c>
      <c r="E4" s="32">
        <f>COUNTIFS('Test Cases'!$C$4:$C$155,"Sdn Bhd / Bhd",'Test Cases'!$N$4:$N$155,"Blocked")</f>
        <v/>
      </c>
      <c r="F4" s="33">
        <f>COUNTIFS('Test Cases'!$C$4:$C$155,"Sdn Bhd / Bhd",'Test Cases'!$N$4:$N$155,"Not Run")</f>
        <v/>
      </c>
      <c r="G4" s="34">
        <f>COUNTIFS('Test Cases'!$C$4:$C$155,"Sdn Bhd / Bhd",'Test Cases'!$N$4:$N$155,"N/A")</f>
        <v/>
      </c>
      <c r="H4" s="35">
        <f>IF(B4=0,0,(C4+D4+E4)/B4)</f>
        <v/>
      </c>
      <c r="I4" s="35">
        <f>IF((C4+D4)=0,0,C4/(C4+D4))</f>
        <v/>
      </c>
    </row>
    <row r="5">
      <c r="A5" s="7" t="inlineStr">
        <is>
          <t>Sole Proprietorship / Partnership</t>
        </is>
      </c>
      <c r="B5" s="29">
        <f>COUNTIFS('Test Cases'!$C$4:$C$155,"Sole Proprietorship / Partnership")</f>
        <v/>
      </c>
      <c r="C5" s="30">
        <f>COUNTIFS('Test Cases'!$C$4:$C$155,"Sole Proprietorship / Partnership",'Test Cases'!$N$4:$N$155,"Pass")</f>
        <v/>
      </c>
      <c r="D5" s="31">
        <f>COUNTIFS('Test Cases'!$C$4:$C$155,"Sole Proprietorship / Partnership",'Test Cases'!$N$4:$N$155,"Fail")</f>
        <v/>
      </c>
      <c r="E5" s="32">
        <f>COUNTIFS('Test Cases'!$C$4:$C$155,"Sole Proprietorship / Partnership",'Test Cases'!$N$4:$N$155,"Blocked")</f>
        <v/>
      </c>
      <c r="F5" s="33">
        <f>COUNTIFS('Test Cases'!$C$4:$C$155,"Sole Proprietorship / Partnership",'Test Cases'!$N$4:$N$155,"Not Run")</f>
        <v/>
      </c>
      <c r="G5" s="34">
        <f>COUNTIFS('Test Cases'!$C$4:$C$155,"Sole Proprietorship / Partnership",'Test Cases'!$N$4:$N$155,"N/A")</f>
        <v/>
      </c>
      <c r="H5" s="35">
        <f>IF(B5=0,0,(C5+D5+E5)/B5)</f>
        <v/>
      </c>
      <c r="I5" s="35">
        <f>IF((C5+D5)=0,0,C5/(C5+D5))</f>
        <v/>
      </c>
    </row>
    <row r="6">
      <c r="A6" s="9" t="inlineStr">
        <is>
          <t>LLP</t>
        </is>
      </c>
      <c r="B6" s="29">
        <f>COUNTIFS('Test Cases'!$C$4:$C$155,"LLP")</f>
        <v/>
      </c>
      <c r="C6" s="30">
        <f>COUNTIFS('Test Cases'!$C$4:$C$155,"LLP",'Test Cases'!$N$4:$N$155,"Pass")</f>
        <v/>
      </c>
      <c r="D6" s="31">
        <f>COUNTIFS('Test Cases'!$C$4:$C$155,"LLP",'Test Cases'!$N$4:$N$155,"Fail")</f>
        <v/>
      </c>
      <c r="E6" s="32">
        <f>COUNTIFS('Test Cases'!$C$4:$C$155,"LLP",'Test Cases'!$N$4:$N$155,"Blocked")</f>
        <v/>
      </c>
      <c r="F6" s="33">
        <f>COUNTIFS('Test Cases'!$C$4:$C$155,"LLP",'Test Cases'!$N$4:$N$155,"Not Run")</f>
        <v/>
      </c>
      <c r="G6" s="34">
        <f>COUNTIFS('Test Cases'!$C$4:$C$155,"LLP",'Test Cases'!$N$4:$N$155,"N/A")</f>
        <v/>
      </c>
      <c r="H6" s="35">
        <f>IF(B6=0,0,(C6+D6+E6)/B6)</f>
        <v/>
      </c>
      <c r="I6" s="35">
        <f>IF((C6+D6)=0,0,C6/(C6+D6))</f>
        <v/>
      </c>
    </row>
    <row r="7">
      <c r="A7" s="11" t="inlineStr">
        <is>
          <t>Business Trading (Sabah)</t>
        </is>
      </c>
      <c r="B7" s="29">
        <f>COUNTIFS('Test Cases'!$C$4:$C$155,"Business Trading (Sabah)")</f>
        <v/>
      </c>
      <c r="C7" s="30">
        <f>COUNTIFS('Test Cases'!$C$4:$C$155,"Business Trading (Sabah)",'Test Cases'!$N$4:$N$155,"Pass")</f>
        <v/>
      </c>
      <c r="D7" s="31">
        <f>COUNTIFS('Test Cases'!$C$4:$C$155,"Business Trading (Sabah)",'Test Cases'!$N$4:$N$155,"Fail")</f>
        <v/>
      </c>
      <c r="E7" s="32">
        <f>COUNTIFS('Test Cases'!$C$4:$C$155,"Business Trading (Sabah)",'Test Cases'!$N$4:$N$155,"Blocked")</f>
        <v/>
      </c>
      <c r="F7" s="33">
        <f>COUNTIFS('Test Cases'!$C$4:$C$155,"Business Trading (Sabah)",'Test Cases'!$N$4:$N$155,"Not Run")</f>
        <v/>
      </c>
      <c r="G7" s="34">
        <f>COUNTIFS('Test Cases'!$C$4:$C$155,"Business Trading (Sabah)",'Test Cases'!$N$4:$N$155,"N/A")</f>
        <v/>
      </c>
      <c r="H7" s="35">
        <f>IF(B7=0,0,(C7+D7+E7)/B7)</f>
        <v/>
      </c>
      <c r="I7" s="35">
        <f>IF((C7+D7)=0,0,C7/(C7+D7))</f>
        <v/>
      </c>
    </row>
    <row r="8">
      <c r="A8" s="13" t="inlineStr">
        <is>
          <t>Business Trading (Sarawak)</t>
        </is>
      </c>
      <c r="B8" s="29">
        <f>COUNTIFS('Test Cases'!$C$4:$C$155,"Business Trading (Sarawak)")</f>
        <v/>
      </c>
      <c r="C8" s="30">
        <f>COUNTIFS('Test Cases'!$C$4:$C$155,"Business Trading (Sarawak)",'Test Cases'!$N$4:$N$155,"Pass")</f>
        <v/>
      </c>
      <c r="D8" s="31">
        <f>COUNTIFS('Test Cases'!$C$4:$C$155,"Business Trading (Sarawak)",'Test Cases'!$N$4:$N$155,"Fail")</f>
        <v/>
      </c>
      <c r="E8" s="32">
        <f>COUNTIFS('Test Cases'!$C$4:$C$155,"Business Trading (Sarawak)",'Test Cases'!$N$4:$N$155,"Blocked")</f>
        <v/>
      </c>
      <c r="F8" s="33">
        <f>COUNTIFS('Test Cases'!$C$4:$C$155,"Business Trading (Sarawak)",'Test Cases'!$N$4:$N$155,"Not Run")</f>
        <v/>
      </c>
      <c r="G8" s="34">
        <f>COUNTIFS('Test Cases'!$C$4:$C$155,"Business Trading (Sarawak)",'Test Cases'!$N$4:$N$155,"N/A")</f>
        <v/>
      </c>
      <c r="H8" s="35">
        <f>IF(B8=0,0,(C8+D8+E8)/B8)</f>
        <v/>
      </c>
      <c r="I8" s="35">
        <f>IF((C8+D8)=0,0,C8/(C8+D8))</f>
        <v/>
      </c>
    </row>
    <row r="9">
      <c r="A9" s="2" t="inlineStr">
        <is>
          <t>TOTAL</t>
        </is>
      </c>
      <c r="B9" s="36">
        <f>SUM(B4:B8)</f>
        <v/>
      </c>
      <c r="C9" s="36">
        <f>SUM(C4:C8)</f>
        <v/>
      </c>
      <c r="D9" s="36">
        <f>SUM(D4:D8)</f>
        <v/>
      </c>
      <c r="E9" s="36">
        <f>SUM(E4:E8)</f>
        <v/>
      </c>
      <c r="F9" s="36">
        <f>SUM(F4:F8)</f>
        <v/>
      </c>
      <c r="G9" s="36">
        <f>SUM(G4:G8)</f>
        <v/>
      </c>
      <c r="H9" s="37">
        <f>IF(B9=0,0,(C9+D9+E9)/B9)</f>
        <v/>
      </c>
      <c r="I9" s="37">
        <f>IF((C9+D9)=0,0,C9/(C9+D9))</f>
        <v/>
      </c>
    </row>
    <row r="11">
      <c r="A11" s="27" t="inlineStr">
        <is>
          <t>By run</t>
        </is>
      </c>
      <c r="B11" s="28" t="inlineStr">
        <is>
          <t>Total</t>
        </is>
      </c>
      <c r="C11" s="28" t="inlineStr">
        <is>
          <t>Pass</t>
        </is>
      </c>
      <c r="D11" s="28" t="inlineStr">
        <is>
          <t>Fail</t>
        </is>
      </c>
      <c r="E11" s="28" t="inlineStr">
        <is>
          <t>Blocked</t>
        </is>
      </c>
      <c r="F11" s="28" t="inlineStr">
        <is>
          <t>Not Run</t>
        </is>
      </c>
      <c r="G11" s="28" t="inlineStr">
        <is>
          <t>N/A</t>
        </is>
      </c>
      <c r="H11" s="28" t="inlineStr">
        <is>
          <t>Executed %</t>
        </is>
      </c>
      <c r="I11" s="28" t="inlineStr">
        <is>
          <t>Pass %</t>
        </is>
      </c>
    </row>
    <row r="12">
      <c r="A12" s="38" t="inlineStr">
        <is>
          <t>CH1</t>
        </is>
      </c>
      <c r="B12" s="29">
        <f>COUNTIFS('Test Cases'!$D$4:$D$155,"CH1")</f>
        <v/>
      </c>
      <c r="C12" s="30">
        <f>COUNTIFS('Test Cases'!$D$4:$D$155,"CH1",'Test Cases'!$N$4:$N$155,"Pass")</f>
        <v/>
      </c>
      <c r="D12" s="31">
        <f>COUNTIFS('Test Cases'!$D$4:$D$155,"CH1",'Test Cases'!$N$4:$N$155,"Fail")</f>
        <v/>
      </c>
      <c r="E12" s="32">
        <f>COUNTIFS('Test Cases'!$D$4:$D$155,"CH1",'Test Cases'!$N$4:$N$155,"Blocked")</f>
        <v/>
      </c>
      <c r="F12" s="33">
        <f>COUNTIFS('Test Cases'!$D$4:$D$155,"CH1",'Test Cases'!$N$4:$N$155,"Not Run")</f>
        <v/>
      </c>
      <c r="G12" s="34">
        <f>COUNTIFS('Test Cases'!$D$4:$D$155,"CH1",'Test Cases'!$N$4:$N$155,"N/A")</f>
        <v/>
      </c>
      <c r="H12" s="35">
        <f>IF(B12=0,0,(C12+D12+E12)/B12)</f>
        <v/>
      </c>
      <c r="I12" s="35">
        <f>IF((C12+D12)=0,0,C12/(C12+D12))</f>
        <v/>
      </c>
    </row>
    <row r="13">
      <c r="A13" s="38" t="inlineStr">
        <is>
          <t>CH2</t>
        </is>
      </c>
      <c r="B13" s="29">
        <f>COUNTIFS('Test Cases'!$D$4:$D$155,"CH2")</f>
        <v/>
      </c>
      <c r="C13" s="30">
        <f>COUNTIFS('Test Cases'!$D$4:$D$155,"CH2",'Test Cases'!$N$4:$N$155,"Pass")</f>
        <v/>
      </c>
      <c r="D13" s="31">
        <f>COUNTIFS('Test Cases'!$D$4:$D$155,"CH2",'Test Cases'!$N$4:$N$155,"Fail")</f>
        <v/>
      </c>
      <c r="E13" s="32">
        <f>COUNTIFS('Test Cases'!$D$4:$D$155,"CH2",'Test Cases'!$N$4:$N$155,"Blocked")</f>
        <v/>
      </c>
      <c r="F13" s="33">
        <f>COUNTIFS('Test Cases'!$D$4:$D$155,"CH2",'Test Cases'!$N$4:$N$155,"Not Run")</f>
        <v/>
      </c>
      <c r="G13" s="34">
        <f>COUNTIFS('Test Cases'!$D$4:$D$155,"CH2",'Test Cases'!$N$4:$N$155,"N/A")</f>
        <v/>
      </c>
      <c r="H13" s="35">
        <f>IF(B13=0,0,(C13+D13+E13)/B13)</f>
        <v/>
      </c>
      <c r="I13" s="35">
        <f>IF((C13+D13)=0,0,C13/(C13+D13))</f>
        <v/>
      </c>
    </row>
    <row r="14">
      <c r="A14" s="38" t="inlineStr">
        <is>
          <t>CH3</t>
        </is>
      </c>
      <c r="B14" s="29">
        <f>COUNTIFS('Test Cases'!$D$4:$D$155,"CH3")</f>
        <v/>
      </c>
      <c r="C14" s="30">
        <f>COUNTIFS('Test Cases'!$D$4:$D$155,"CH3",'Test Cases'!$N$4:$N$155,"Pass")</f>
        <v/>
      </c>
      <c r="D14" s="31">
        <f>COUNTIFS('Test Cases'!$D$4:$D$155,"CH3",'Test Cases'!$N$4:$N$155,"Fail")</f>
        <v/>
      </c>
      <c r="E14" s="32">
        <f>COUNTIFS('Test Cases'!$D$4:$D$155,"CH3",'Test Cases'!$N$4:$N$155,"Blocked")</f>
        <v/>
      </c>
      <c r="F14" s="33">
        <f>COUNTIFS('Test Cases'!$D$4:$D$155,"CH3",'Test Cases'!$N$4:$N$155,"Not Run")</f>
        <v/>
      </c>
      <c r="G14" s="34">
        <f>COUNTIFS('Test Cases'!$D$4:$D$155,"CH3",'Test Cases'!$N$4:$N$155,"N/A")</f>
        <v/>
      </c>
      <c r="H14" s="35">
        <f>IF(B14=0,0,(C14+D14+E14)/B14)</f>
        <v/>
      </c>
      <c r="I14" s="35">
        <f>IF((C14+D14)=0,0,C14/(C14+D14))</f>
        <v/>
      </c>
    </row>
    <row r="15">
      <c r="A15" s="38" t="inlineStr">
        <is>
          <t>CH4</t>
        </is>
      </c>
      <c r="B15" s="29">
        <f>COUNTIFS('Test Cases'!$D$4:$D$155,"CH4")</f>
        <v/>
      </c>
      <c r="C15" s="30">
        <f>COUNTIFS('Test Cases'!$D$4:$D$155,"CH4",'Test Cases'!$N$4:$N$155,"Pass")</f>
        <v/>
      </c>
      <c r="D15" s="31">
        <f>COUNTIFS('Test Cases'!$D$4:$D$155,"CH4",'Test Cases'!$N$4:$N$155,"Fail")</f>
        <v/>
      </c>
      <c r="E15" s="32">
        <f>COUNTIFS('Test Cases'!$D$4:$D$155,"CH4",'Test Cases'!$N$4:$N$155,"Blocked")</f>
        <v/>
      </c>
      <c r="F15" s="33">
        <f>COUNTIFS('Test Cases'!$D$4:$D$155,"CH4",'Test Cases'!$N$4:$N$155,"Not Run")</f>
        <v/>
      </c>
      <c r="G15" s="34">
        <f>COUNTIFS('Test Cases'!$D$4:$D$155,"CH4",'Test Cases'!$N$4:$N$155,"N/A")</f>
        <v/>
      </c>
      <c r="H15" s="35">
        <f>IF(B15=0,0,(C15+D15+E15)/B15)</f>
        <v/>
      </c>
      <c r="I15" s="35">
        <f>IF((C15+D15)=0,0,C15/(C15+D15))</f>
        <v/>
      </c>
    </row>
    <row r="16">
      <c r="A16" s="38" t="inlineStr">
        <is>
          <t>CH5</t>
        </is>
      </c>
      <c r="B16" s="29">
        <f>COUNTIFS('Test Cases'!$D$4:$D$155,"CH5")</f>
        <v/>
      </c>
      <c r="C16" s="30">
        <f>COUNTIFS('Test Cases'!$D$4:$D$155,"CH5",'Test Cases'!$N$4:$N$155,"Pass")</f>
        <v/>
      </c>
      <c r="D16" s="31">
        <f>COUNTIFS('Test Cases'!$D$4:$D$155,"CH5",'Test Cases'!$N$4:$N$155,"Fail")</f>
        <v/>
      </c>
      <c r="E16" s="32">
        <f>COUNTIFS('Test Cases'!$D$4:$D$155,"CH5",'Test Cases'!$N$4:$N$155,"Blocked")</f>
        <v/>
      </c>
      <c r="F16" s="33">
        <f>COUNTIFS('Test Cases'!$D$4:$D$155,"CH5",'Test Cases'!$N$4:$N$155,"Not Run")</f>
        <v/>
      </c>
      <c r="G16" s="34">
        <f>COUNTIFS('Test Cases'!$D$4:$D$155,"CH5",'Test Cases'!$N$4:$N$155,"N/A")</f>
        <v/>
      </c>
      <c r="H16" s="35">
        <f>IF(B16=0,0,(C16+D16+E16)/B16)</f>
        <v/>
      </c>
      <c r="I16" s="35">
        <f>IF((C16+D16)=0,0,C16/(C16+D16))</f>
        <v/>
      </c>
    </row>
    <row r="17">
      <c r="A17" s="38" t="inlineStr">
        <is>
          <t>CH6</t>
        </is>
      </c>
      <c r="B17" s="29">
        <f>COUNTIFS('Test Cases'!$D$4:$D$155,"CH6")</f>
        <v/>
      </c>
      <c r="C17" s="30">
        <f>COUNTIFS('Test Cases'!$D$4:$D$155,"CH6",'Test Cases'!$N$4:$N$155,"Pass")</f>
        <v/>
      </c>
      <c r="D17" s="31">
        <f>COUNTIFS('Test Cases'!$D$4:$D$155,"CH6",'Test Cases'!$N$4:$N$155,"Fail")</f>
        <v/>
      </c>
      <c r="E17" s="32">
        <f>COUNTIFS('Test Cases'!$D$4:$D$155,"CH6",'Test Cases'!$N$4:$N$155,"Blocked")</f>
        <v/>
      </c>
      <c r="F17" s="33">
        <f>COUNTIFS('Test Cases'!$D$4:$D$155,"CH6",'Test Cases'!$N$4:$N$155,"Not Run")</f>
        <v/>
      </c>
      <c r="G17" s="34">
        <f>COUNTIFS('Test Cases'!$D$4:$D$155,"CH6",'Test Cases'!$N$4:$N$155,"N/A")</f>
        <v/>
      </c>
      <c r="H17" s="35">
        <f>IF(B17=0,0,(C17+D17+E17)/B17)</f>
        <v/>
      </c>
      <c r="I17" s="35">
        <f>IF((C17+D17)=0,0,C17/(C17+D17))</f>
        <v/>
      </c>
    </row>
    <row r="18">
      <c r="A18" s="38" t="inlineStr">
        <is>
          <t>CH7</t>
        </is>
      </c>
      <c r="B18" s="29">
        <f>COUNTIFS('Test Cases'!$D$4:$D$155,"CH7")</f>
        <v/>
      </c>
      <c r="C18" s="30">
        <f>COUNTIFS('Test Cases'!$D$4:$D$155,"CH7",'Test Cases'!$N$4:$N$155,"Pass")</f>
        <v/>
      </c>
      <c r="D18" s="31">
        <f>COUNTIFS('Test Cases'!$D$4:$D$155,"CH7",'Test Cases'!$N$4:$N$155,"Fail")</f>
        <v/>
      </c>
      <c r="E18" s="32">
        <f>COUNTIFS('Test Cases'!$D$4:$D$155,"CH7",'Test Cases'!$N$4:$N$155,"Blocked")</f>
        <v/>
      </c>
      <c r="F18" s="33">
        <f>COUNTIFS('Test Cases'!$D$4:$D$155,"CH7",'Test Cases'!$N$4:$N$155,"Not Run")</f>
        <v/>
      </c>
      <c r="G18" s="34">
        <f>COUNTIFS('Test Cases'!$D$4:$D$155,"CH7",'Test Cases'!$N$4:$N$155,"N/A")</f>
        <v/>
      </c>
      <c r="H18" s="35">
        <f>IF(B18=0,0,(C18+D18+E18)/B18)</f>
        <v/>
      </c>
      <c r="I18" s="35">
        <f>IF((C18+D18)=0,0,C18/(C18+D18))</f>
        <v/>
      </c>
    </row>
    <row r="19">
      <c r="A19" s="38" t="inlineStr">
        <is>
          <t>CH8</t>
        </is>
      </c>
      <c r="B19" s="29">
        <f>COUNTIFS('Test Cases'!$D$4:$D$155,"CH8")</f>
        <v/>
      </c>
      <c r="C19" s="30">
        <f>COUNTIFS('Test Cases'!$D$4:$D$155,"CH8",'Test Cases'!$N$4:$N$155,"Pass")</f>
        <v/>
      </c>
      <c r="D19" s="31">
        <f>COUNTIFS('Test Cases'!$D$4:$D$155,"CH8",'Test Cases'!$N$4:$N$155,"Fail")</f>
        <v/>
      </c>
      <c r="E19" s="32">
        <f>COUNTIFS('Test Cases'!$D$4:$D$155,"CH8",'Test Cases'!$N$4:$N$155,"Blocked")</f>
        <v/>
      </c>
      <c r="F19" s="33">
        <f>COUNTIFS('Test Cases'!$D$4:$D$155,"CH8",'Test Cases'!$N$4:$N$155,"Not Run")</f>
        <v/>
      </c>
      <c r="G19" s="34">
        <f>COUNTIFS('Test Cases'!$D$4:$D$155,"CH8",'Test Cases'!$N$4:$N$155,"N/A")</f>
        <v/>
      </c>
      <c r="H19" s="35">
        <f>IF(B19=0,0,(C19+D19+E19)/B19)</f>
        <v/>
      </c>
      <c r="I19" s="35">
        <f>IF((C19+D19)=0,0,C19/(C19+D19))</f>
        <v/>
      </c>
    </row>
    <row r="20">
      <c r="A20" s="2" t="inlineStr">
        <is>
          <t>TOTAL</t>
        </is>
      </c>
      <c r="B20" s="36">
        <f>SUM(B12:B19)</f>
        <v/>
      </c>
      <c r="C20" s="36">
        <f>SUM(C12:C19)</f>
        <v/>
      </c>
      <c r="D20" s="36">
        <f>SUM(D12:D19)</f>
        <v/>
      </c>
      <c r="E20" s="36">
        <f>SUM(E12:E19)</f>
        <v/>
      </c>
      <c r="F20" s="36">
        <f>SUM(F12:F19)</f>
        <v/>
      </c>
      <c r="G20" s="36">
        <f>SUM(G12:G19)</f>
        <v/>
      </c>
      <c r="H20" s="37">
        <f>IF(B20=0,0,(C20+D20+E20)/B20)</f>
        <v/>
      </c>
      <c r="I20" s="37">
        <f>IF((C20+D20)=0,0,C20/(C20+D20))</f>
        <v/>
      </c>
    </row>
    <row r="22">
      <c r="A22" s="27" t="inlineStr">
        <is>
          <t>By test area</t>
        </is>
      </c>
      <c r="B22" s="28" t="inlineStr">
        <is>
          <t>Total</t>
        </is>
      </c>
      <c r="C22" s="28" t="inlineStr">
        <is>
          <t>Pass</t>
        </is>
      </c>
      <c r="D22" s="28" t="inlineStr">
        <is>
          <t>Fail</t>
        </is>
      </c>
      <c r="E22" s="28" t="inlineStr">
        <is>
          <t>Blocked</t>
        </is>
      </c>
      <c r="F22" s="28" t="inlineStr">
        <is>
          <t>Not Run</t>
        </is>
      </c>
      <c r="G22" s="28" t="inlineStr">
        <is>
          <t>N/A</t>
        </is>
      </c>
      <c r="H22" s="28" t="inlineStr">
        <is>
          <t>Executed %</t>
        </is>
      </c>
      <c r="I22" s="28" t="inlineStr">
        <is>
          <t>Pass %</t>
        </is>
      </c>
    </row>
    <row r="23">
      <c r="A23" s="2" t="inlineStr">
        <is>
          <t>Setup &amp; Flow</t>
        </is>
      </c>
      <c r="B23" s="29">
        <f>COUNTIFS('Test Cases'!$E$4:$E$155,"Setup &amp; Flow")</f>
        <v/>
      </c>
      <c r="C23" s="30">
        <f>COUNTIFS('Test Cases'!$E$4:$E$155,"Setup &amp; Flow",'Test Cases'!$N$4:$N$155,"Pass")</f>
        <v/>
      </c>
      <c r="D23" s="31">
        <f>COUNTIFS('Test Cases'!$E$4:$E$155,"Setup &amp; Flow",'Test Cases'!$N$4:$N$155,"Fail")</f>
        <v/>
      </c>
      <c r="E23" s="32">
        <f>COUNTIFS('Test Cases'!$E$4:$E$155,"Setup &amp; Flow",'Test Cases'!$N$4:$N$155,"Blocked")</f>
        <v/>
      </c>
      <c r="F23" s="33">
        <f>COUNTIFS('Test Cases'!$E$4:$E$155,"Setup &amp; Flow",'Test Cases'!$N$4:$N$155,"Not Run")</f>
        <v/>
      </c>
      <c r="G23" s="34">
        <f>COUNTIFS('Test Cases'!$E$4:$E$155,"Setup &amp; Flow",'Test Cases'!$N$4:$N$155,"N/A")</f>
        <v/>
      </c>
      <c r="H23" s="35">
        <f>IF(B23=0,0,(C23+D23+E23)/B23)</f>
        <v/>
      </c>
      <c r="I23" s="35">
        <f>IF((C23+D23)=0,0,C23/(C23+D23))</f>
        <v/>
      </c>
    </row>
    <row r="24">
      <c r="A24" s="39" t="inlineStr">
        <is>
          <t>Guideline Email (UCD)</t>
        </is>
      </c>
      <c r="B24" s="29">
        <f>COUNTIFS('Test Cases'!$E$4:$E$155,"Guideline Email (UCD)")</f>
        <v/>
      </c>
      <c r="C24" s="30">
        <f>COUNTIFS('Test Cases'!$E$4:$E$155,"Guideline Email (UCD)",'Test Cases'!$N$4:$N$155,"Pass")</f>
        <v/>
      </c>
      <c r="D24" s="31">
        <f>COUNTIFS('Test Cases'!$E$4:$E$155,"Guideline Email (UCD)",'Test Cases'!$N$4:$N$155,"Fail")</f>
        <v/>
      </c>
      <c r="E24" s="32">
        <f>COUNTIFS('Test Cases'!$E$4:$E$155,"Guideline Email (UCD)",'Test Cases'!$N$4:$N$155,"Blocked")</f>
        <v/>
      </c>
      <c r="F24" s="33">
        <f>COUNTIFS('Test Cases'!$E$4:$E$155,"Guideline Email (UCD)",'Test Cases'!$N$4:$N$155,"Not Run")</f>
        <v/>
      </c>
      <c r="G24" s="34">
        <f>COUNTIFS('Test Cases'!$E$4:$E$155,"Guideline Email (UCD)",'Test Cases'!$N$4:$N$155,"N/A")</f>
        <v/>
      </c>
      <c r="H24" s="35">
        <f>IF(B24=0,0,(C24+D24+E24)/B24)</f>
        <v/>
      </c>
      <c r="I24" s="35">
        <f>IF((C24+D24)=0,0,C24/(C24+D24))</f>
        <v/>
      </c>
    </row>
    <row r="25">
      <c r="A25" s="40" t="inlineStr">
        <is>
          <t>RHB Support Email</t>
        </is>
      </c>
      <c r="B25" s="29">
        <f>COUNTIFS('Test Cases'!$E$4:$E$155,"RHB Support Email")</f>
        <v/>
      </c>
      <c r="C25" s="30">
        <f>COUNTIFS('Test Cases'!$E$4:$E$155,"RHB Support Email",'Test Cases'!$N$4:$N$155,"Pass")</f>
        <v/>
      </c>
      <c r="D25" s="31">
        <f>COUNTIFS('Test Cases'!$E$4:$E$155,"RHB Support Email",'Test Cases'!$N$4:$N$155,"Fail")</f>
        <v/>
      </c>
      <c r="E25" s="32">
        <f>COUNTIFS('Test Cases'!$E$4:$E$155,"RHB Support Email",'Test Cases'!$N$4:$N$155,"Blocked")</f>
        <v/>
      </c>
      <c r="F25" s="33">
        <f>COUNTIFS('Test Cases'!$E$4:$E$155,"RHB Support Email",'Test Cases'!$N$4:$N$155,"Not Run")</f>
        <v/>
      </c>
      <c r="G25" s="34">
        <f>COUNTIFS('Test Cases'!$E$4:$E$155,"RHB Support Email",'Test Cases'!$N$4:$N$155,"N/A")</f>
        <v/>
      </c>
      <c r="H25" s="35">
        <f>IF(B25=0,0,(C25+D25+E25)/B25)</f>
        <v/>
      </c>
      <c r="I25" s="35">
        <f>IF((C25+D25)=0,0,C25/(C25+D25))</f>
        <v/>
      </c>
    </row>
    <row r="26">
      <c r="A26" s="41" t="inlineStr">
        <is>
          <t>Appointment Letter</t>
        </is>
      </c>
      <c r="B26" s="29">
        <f>COUNTIFS('Test Cases'!$E$4:$E$155,"Appointment Letter")</f>
        <v/>
      </c>
      <c r="C26" s="30">
        <f>COUNTIFS('Test Cases'!$E$4:$E$155,"Appointment Letter",'Test Cases'!$N$4:$N$155,"Pass")</f>
        <v/>
      </c>
      <c r="D26" s="31">
        <f>COUNTIFS('Test Cases'!$E$4:$E$155,"Appointment Letter",'Test Cases'!$N$4:$N$155,"Fail")</f>
        <v/>
      </c>
      <c r="E26" s="32">
        <f>COUNTIFS('Test Cases'!$E$4:$E$155,"Appointment Letter",'Test Cases'!$N$4:$N$155,"Blocked")</f>
        <v/>
      </c>
      <c r="F26" s="33">
        <f>COUNTIFS('Test Cases'!$E$4:$E$155,"Appointment Letter",'Test Cases'!$N$4:$N$155,"Not Run")</f>
        <v/>
      </c>
      <c r="G26" s="34">
        <f>COUNTIFS('Test Cases'!$E$4:$E$155,"Appointment Letter",'Test Cases'!$N$4:$N$155,"N/A")</f>
        <v/>
      </c>
      <c r="H26" s="35">
        <f>IF(B26=0,0,(C26+D26+E26)/B26)</f>
        <v/>
      </c>
      <c r="I26" s="35">
        <f>IF((C26+D26)=0,0,C26/(C26+D26))</f>
        <v/>
      </c>
    </row>
    <row r="27">
      <c r="A27" s="42" t="inlineStr">
        <is>
          <t>Negative &amp; Regression</t>
        </is>
      </c>
      <c r="B27" s="29">
        <f>COUNTIFS('Test Cases'!$E$4:$E$155,"Negative &amp; Regression")</f>
        <v/>
      </c>
      <c r="C27" s="30">
        <f>COUNTIFS('Test Cases'!$E$4:$E$155,"Negative &amp; Regression",'Test Cases'!$N$4:$N$155,"Pass")</f>
        <v/>
      </c>
      <c r="D27" s="31">
        <f>COUNTIFS('Test Cases'!$E$4:$E$155,"Negative &amp; Regression",'Test Cases'!$N$4:$N$155,"Fail")</f>
        <v/>
      </c>
      <c r="E27" s="32">
        <f>COUNTIFS('Test Cases'!$E$4:$E$155,"Negative &amp; Regression",'Test Cases'!$N$4:$N$155,"Blocked")</f>
        <v/>
      </c>
      <c r="F27" s="33">
        <f>COUNTIFS('Test Cases'!$E$4:$E$155,"Negative &amp; Regression",'Test Cases'!$N$4:$N$155,"Not Run")</f>
        <v/>
      </c>
      <c r="G27" s="34">
        <f>COUNTIFS('Test Cases'!$E$4:$E$155,"Negative &amp; Regression",'Test Cases'!$N$4:$N$155,"N/A")</f>
        <v/>
      </c>
      <c r="H27" s="35">
        <f>IF(B27=0,0,(C27+D27+E27)/B27)</f>
        <v/>
      </c>
      <c r="I27" s="35">
        <f>IF((C27+D27)=0,0,C27/(C27+D27))</f>
        <v/>
      </c>
    </row>
    <row r="28">
      <c r="A28" s="2" t="inlineStr">
        <is>
          <t>TOTAL</t>
        </is>
      </c>
      <c r="B28" s="36">
        <f>SUM(B23:B27)</f>
        <v/>
      </c>
      <c r="C28" s="36">
        <f>SUM(C23:C27)</f>
        <v/>
      </c>
      <c r="D28" s="36">
        <f>SUM(D23:D27)</f>
        <v/>
      </c>
      <c r="E28" s="36">
        <f>SUM(E23:E27)</f>
        <v/>
      </c>
      <c r="F28" s="36">
        <f>SUM(F23:F27)</f>
        <v/>
      </c>
      <c r="G28" s="36">
        <f>SUM(G23:G27)</f>
        <v/>
      </c>
      <c r="H28" s="37">
        <f>IF(B28=0,0,(C28+D28+E28)/B28)</f>
        <v/>
      </c>
      <c r="I28" s="37">
        <f>IF((C28+D28)=0,0,C28/(C28+D28))</f>
        <v/>
      </c>
    </row>
    <row r="30">
      <c r="A30" s="43" t="inlineStr">
        <is>
          <t>Executed % = (Pass + Fail + Blocked) / Total.   Pass % = Pass / (Pass + Fail).</t>
        </is>
      </c>
    </row>
  </sheetData>
  <conditionalFormatting sqref="H4:H9">
    <cfRule type="dataBar" priority="1">
      <dataBar>
        <cfvo type="num" val="0"/>
        <cfvo type="num" val="1"/>
        <color rgb="005B9BD5"/>
      </dataBar>
    </cfRule>
  </conditionalFormatting>
  <conditionalFormatting sqref="I4:I9">
    <cfRule type="dataBar" priority="2">
      <dataBar>
        <cfvo type="num" val="0"/>
        <cfvo type="num" val="1"/>
        <color rgb="0070AD47"/>
      </dataBar>
    </cfRule>
  </conditionalFormatting>
  <conditionalFormatting sqref="H12:H20">
    <cfRule type="dataBar" priority="3">
      <dataBar>
        <cfvo type="num" val="0"/>
        <cfvo type="num" val="1"/>
        <color rgb="005B9BD5"/>
      </dataBar>
    </cfRule>
  </conditionalFormatting>
  <conditionalFormatting sqref="I12:I20">
    <cfRule type="dataBar" priority="4">
      <dataBar>
        <cfvo type="num" val="0"/>
        <cfvo type="num" val="1"/>
        <color rgb="0070AD47"/>
      </dataBar>
    </cfRule>
  </conditionalFormatting>
  <conditionalFormatting sqref="H23:H28">
    <cfRule type="dataBar" priority="5">
      <dataBar>
        <cfvo type="num" val="0"/>
        <cfvo type="num" val="1"/>
        <color rgb="005B9BD5"/>
      </dataBar>
    </cfRule>
  </conditionalFormatting>
  <conditionalFormatting sqref="I23:I28">
    <cfRule type="dataBar" priority="6">
      <dataBar>
        <cfvo type="num" val="0"/>
        <cfvo type="num" val="1"/>
        <color rgb="0070AD47"/>
      </dataBar>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55"/>
  <sheetViews>
    <sheetView zoomScale="90" workbookViewId="0">
      <pane xSplit="6" ySplit="1" topLeftCell="G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18" customWidth="1" min="3" max="3"/>
    <col width="7" customWidth="1" min="4" max="4"/>
    <col width="16" customWidth="1" min="5" max="5"/>
    <col width="34" customWidth="1" min="6" max="6"/>
    <col width="34" customWidth="1" min="7" max="7"/>
    <col width="52" customWidth="1" min="8" max="8"/>
    <col width="60" customWidth="1" min="9" max="9"/>
    <col width="16" customWidth="1" min="10" max="10"/>
    <col width="9" customWidth="1" min="11" max="11"/>
    <col width="14" customWidth="1" min="12" max="12"/>
    <col width="36" customWidth="1" min="13" max="13"/>
    <col width="11" customWidth="1" min="14" max="14"/>
    <col width="16" customWidth="1" min="15" max="15"/>
    <col width="11" customWidth="1" min="16" max="16"/>
    <col width="22" customWidth="1" min="17" max="17"/>
    <col width="12" customWidth="1" min="18" max="18"/>
    <col width="40" customWidth="1" min="19" max="19"/>
  </cols>
  <sheetData>
    <row r="1" ht="32" customHeight="1">
      <c r="A1" s="28" t="inlineStr">
        <is>
          <t>No.</t>
        </is>
      </c>
      <c r="B1" s="28" t="inlineStr">
        <is>
          <t>TC ID</t>
        </is>
      </c>
      <c r="C1" s="28" t="inlineStr">
        <is>
          <t>Business Type</t>
        </is>
      </c>
      <c r="D1" s="28" t="inlineStr">
        <is>
          <t>Run</t>
        </is>
      </c>
      <c r="E1" s="28" t="inlineStr">
        <is>
          <t>Test Area</t>
        </is>
      </c>
      <c r="F1" s="28" t="inlineStr">
        <is>
          <t>Test Scenario</t>
        </is>
      </c>
      <c r="G1" s="28" t="inlineStr">
        <is>
          <t>Pre-condition / Test Data</t>
        </is>
      </c>
      <c r="H1" s="28" t="inlineStr">
        <is>
          <t>Test Steps</t>
        </is>
      </c>
      <c r="I1" s="28" t="inlineStr">
        <is>
          <t>Expected Result</t>
        </is>
      </c>
      <c r="J1" s="28" t="inlineStr">
        <is>
          <t>Requirement</t>
        </is>
      </c>
      <c r="K1" s="28" t="inlineStr">
        <is>
          <t>Priority</t>
        </is>
      </c>
      <c r="L1" s="28" t="inlineStr">
        <is>
          <t>Test Type</t>
        </is>
      </c>
      <c r="M1" s="28" t="inlineStr">
        <is>
          <t>Actual Result</t>
        </is>
      </c>
      <c r="N1" s="28" t="inlineStr">
        <is>
          <t>Test Result</t>
        </is>
      </c>
      <c r="O1" s="28" t="inlineStr">
        <is>
          <t>Tested By (QA)</t>
        </is>
      </c>
      <c r="P1" s="28" t="inlineStr">
        <is>
          <t>Test Date</t>
        </is>
      </c>
      <c r="Q1" s="28" t="inlineStr">
        <is>
          <t>Evidence (screenshot / file)</t>
        </is>
      </c>
      <c r="R1" s="28" t="inlineStr">
        <is>
          <t>Defect ID</t>
        </is>
      </c>
      <c r="S1" s="28" t="inlineStr">
        <is>
          <t>Remarks</t>
        </is>
      </c>
    </row>
    <row r="2" ht="22" customHeight="1">
      <c r="A2" s="44" t="inlineStr">
        <is>
          <t>SDN BHD / BHD   —   2 run(s)</t>
        </is>
      </c>
    </row>
    <row r="3" ht="18" customHeight="1">
      <c r="A3" s="45" t="inlineStr">
        <is>
          <t>Run CH1  ·  4 directors, all Malaysian  ·  TIN starts with C  ·  Main run — do it first. Carries the extra checks CH1-20 (old email) and CH1-21 (hardcopy regression).</t>
        </is>
      </c>
    </row>
    <row r="4" ht="126" customHeight="1">
      <c r="A4" s="29" t="n">
        <v>1</v>
      </c>
      <c r="B4" s="46" t="inlineStr">
        <is>
          <t>CH1-01</t>
        </is>
      </c>
      <c r="C4" s="3" t="inlineStr">
        <is>
          <t>Sdn Bhd / Bhd</t>
        </is>
      </c>
      <c r="D4" s="29" t="inlineStr">
        <is>
          <t>CH1</t>
        </is>
      </c>
      <c r="E4" s="36" t="inlineStr">
        <is>
          <t>Setup &amp; Flow</t>
        </is>
      </c>
      <c r="F4" s="3" t="inlineStr">
        <is>
          <t>eSim set up for CH1 — Sdn Bhd / Bhd, 4 directors, all Malaysian</t>
        </is>
      </c>
      <c r="G4" s="3" t="inlineStr">
        <is>
          <t>A PASS company from the checker sheet (TIN starts with C) typed in tab '1 Companies'. VPN on.</t>
        </is>
      </c>
      <c r="H4" s="3" t="inlineStr">
        <is>
          <t>1. Log in to eSim: https://172.30.202.114:9089/esim/login.
2. Open tab 'CH1' of EAINT-12341_eSim_Setup.xlsx.
3. Screen 'Ssm Enquiry Resp': type every value of Part A, then Save.
4. Submission screen: type every value of Part B (including the tags and the people), then Save.
5. Screenshot both saved records.</t>
        </is>
      </c>
      <c r="I4" s="3" t="inlineStr">
        <is>
          <t>1. Ssm Enquiry Resp saved with Response Code 004, the ROC without its letter, the 12-digit number, Delay 0.
2. Submission record saved with Response Code 005, status ACTIVE/EXISTING and exactly 4 directors.
3. No error message on save.</t>
        </is>
      </c>
      <c r="J4" s="3" t="inlineStr">
        <is>
          <t>Test data (eSimulator guide)</t>
        </is>
      </c>
      <c r="K4" s="29" t="inlineStr">
        <is>
          <t>High</t>
        </is>
      </c>
      <c r="L4" s="3" t="inlineStr">
        <is>
          <t>Setup</t>
        </is>
      </c>
      <c r="M4" s="3" t="inlineStr"/>
      <c r="N4" s="29" t="inlineStr">
        <is>
          <t>Not Run</t>
        </is>
      </c>
      <c r="O4" s="3" t="inlineStr"/>
      <c r="P4" s="47" t="inlineStr"/>
      <c r="Q4" s="3" t="inlineStr"/>
      <c r="R4" s="3" t="inlineStr"/>
      <c r="S4" s="3" t="inlineStr"/>
    </row>
    <row r="5" ht="126" customHeight="1">
      <c r="A5" s="29" t="n">
        <v>2</v>
      </c>
      <c r="B5" s="46" t="inlineStr">
        <is>
          <t>CH1-02</t>
        </is>
      </c>
      <c r="C5" s="3" t="inlineStr">
        <is>
          <t>Sdn Bhd / Bhd</t>
        </is>
      </c>
      <c r="D5" s="29" t="inlineStr">
        <is>
          <t>CH1</t>
        </is>
      </c>
      <c r="E5" s="36" t="inlineStr">
        <is>
          <t>Setup &amp; Flow</t>
        </is>
      </c>
      <c r="F5" s="3" t="inlineStr">
        <is>
          <t>Robot runs CH1 to Application Approved</t>
        </is>
      </c>
      <c r="G5" s="3" t="inlineStr">
        <is>
          <t>CH1-01 passed. VPN on. Settings file filled. Mailtrap open.</t>
        </is>
      </c>
      <c r="H5" s="3" t="inlineStr">
        <is>
          <t>1. In the automation folder run: npm run ch1.
2. Tick 'I'm not a robot' when the window asks.
3. Pay in the payment window when the window asks.
4. Do not click anything else; wait for the end of the run.
5. Copy the black-window text and keep it with the evidence.</t>
        </is>
      </c>
      <c r="I5" s="3" t="inlineStr">
        <is>
          <t>1. The Pre-Application is created, paid and approved (Pre-Application No P……/….. printed).
2. The Application is submitted and approved by the Approver (Application No NA…….. printed).
3. The window shows 'READY FOR MANUAL EMAIL CHECK' — stopped at Application Approved.
4. An expected-email file is created in 04-runs/.</t>
        </is>
      </c>
      <c r="J5" s="3" t="inlineStr">
        <is>
          <t>REQ-001 (trigger)</t>
        </is>
      </c>
      <c r="K5" s="29" t="inlineStr">
        <is>
          <t>High</t>
        </is>
      </c>
      <c r="L5" s="3" t="inlineStr">
        <is>
          <t>E2E flow (automation)</t>
        </is>
      </c>
      <c r="M5" s="3" t="inlineStr"/>
      <c r="N5" s="29" t="inlineStr">
        <is>
          <t>Not Run</t>
        </is>
      </c>
      <c r="O5" s="3" t="inlineStr"/>
      <c r="P5" s="47" t="inlineStr"/>
      <c r="Q5" s="3" t="inlineStr"/>
      <c r="R5" s="3" t="inlineStr"/>
      <c r="S5" s="3" t="inlineStr"/>
    </row>
    <row r="6" ht="112" customHeight="1">
      <c r="A6" s="29" t="n">
        <v>3</v>
      </c>
      <c r="B6" s="46" t="inlineStr">
        <is>
          <t>CH1-03</t>
        </is>
      </c>
      <c r="C6" s="3" t="inlineStr">
        <is>
          <t>Sdn Bhd / Bhd</t>
        </is>
      </c>
      <c r="D6" s="29" t="inlineStr">
        <is>
          <t>CH1</t>
        </is>
      </c>
      <c r="E6" s="36" t="inlineStr">
        <is>
          <t>Setup &amp; Flow</t>
        </is>
      </c>
      <c r="F6" s="3" t="inlineStr">
        <is>
          <t>Pre-Application summary shows the SSM details set up in eSim</t>
        </is>
      </c>
      <c r="G6" s="3" t="inlineStr">
        <is>
          <t>CH1-02 reached at least Pre-Application approved.</t>
        </is>
      </c>
      <c r="H6" s="3" t="inlineStr">
        <is>
          <t>1. BackOffice &gt; Pre-Application listing: search the Pre-Application No.
2. Check the SSM Status column.
3. Open the record and its SSM details.</t>
        </is>
      </c>
      <c r="I6" s="3" t="inlineStr">
        <is>
          <t>1. SSM Status = OK.
2. Registration no. = &lt;ROC no. with letter&gt; (&lt;12-digit no.&gt;) exactly as in tab '1 Companies' (letter not doubled, e.g. no '-U-A').
3. The people listed match the eSim setup (4 directors, all Malaysian).
4. These are the values the Appointment Letter must use (old / new BRN).</t>
        </is>
      </c>
      <c r="J6" s="3" t="inlineStr">
        <is>
          <t>REQ-007 (letter data source)</t>
        </is>
      </c>
      <c r="K6" s="29" t="inlineStr">
        <is>
          <t>High</t>
        </is>
      </c>
      <c r="L6" s="3" t="inlineStr">
        <is>
          <t>Data</t>
        </is>
      </c>
      <c r="M6" s="3" t="inlineStr"/>
      <c r="N6" s="29" t="inlineStr">
        <is>
          <t>Not Run</t>
        </is>
      </c>
      <c r="O6" s="3" t="inlineStr"/>
      <c r="P6" s="47" t="inlineStr"/>
      <c r="Q6" s="3" t="inlineStr"/>
      <c r="R6" s="3" t="inlineStr"/>
      <c r="S6" s="3" t="inlineStr"/>
    </row>
    <row r="7" ht="84" customHeight="1">
      <c r="A7" s="29" t="n">
        <v>4</v>
      </c>
      <c r="B7" s="46" t="inlineStr">
        <is>
          <t>CH1-04</t>
        </is>
      </c>
      <c r="C7" s="3" t="inlineStr">
        <is>
          <t>Sdn Bhd / Bhd</t>
        </is>
      </c>
      <c r="D7" s="29" t="inlineStr">
        <is>
          <t>CH1</t>
        </is>
      </c>
      <c r="E7" s="48" t="inlineStr">
        <is>
          <t>Negative &amp; Regression</t>
        </is>
      </c>
      <c r="F7" s="3" t="inlineStr">
        <is>
          <t>Pre-Application approval does NOT send the new emails</t>
        </is>
      </c>
      <c r="G7" s="3" t="inlineStr">
        <is>
          <t>CH1-02 reached at least Pre-Application approved.</t>
        </is>
      </c>
      <c r="H7" s="3" t="inlineStr">
        <is>
          <t>1. Take the 'pre-app approved' and 'approved' (or 'submitted') times from the run log.
2. In Mailtrap, list all emails to the run's admin and director email addresses between those two times.</t>
        </is>
      </c>
      <c r="I7" s="3" t="inlineStr">
        <is>
          <t>1. No 'RHB Online / Branch Account Opening' email in that window.
2. No 'Approved eAuto Registration' email in that window.
3. The existing Pre-Application approval email (with the Application link) still arrives as before.</t>
        </is>
      </c>
      <c r="J7" s="3" t="inlineStr">
        <is>
          <t>REQ-001</t>
        </is>
      </c>
      <c r="K7" s="29" t="inlineStr">
        <is>
          <t>Medium</t>
        </is>
      </c>
      <c r="L7" s="3" t="inlineStr">
        <is>
          <t>Negative</t>
        </is>
      </c>
      <c r="M7" s="3" t="inlineStr"/>
      <c r="N7" s="29" t="inlineStr">
        <is>
          <t>Not Run</t>
        </is>
      </c>
      <c r="O7" s="3" t="inlineStr"/>
      <c r="P7" s="47" t="inlineStr"/>
      <c r="Q7" s="3" t="inlineStr"/>
      <c r="R7" s="3" t="inlineStr"/>
      <c r="S7" s="3" t="inlineStr"/>
    </row>
    <row r="8" ht="98" customHeight="1">
      <c r="A8" s="29" t="n">
        <v>5</v>
      </c>
      <c r="B8" s="46" t="inlineStr">
        <is>
          <t>CH1-05</t>
        </is>
      </c>
      <c r="C8" s="3" t="inlineStr">
        <is>
          <t>Sdn Bhd / Bhd</t>
        </is>
      </c>
      <c r="D8" s="29" t="inlineStr">
        <is>
          <t>CH1</t>
        </is>
      </c>
      <c r="E8" s="49" t="inlineStr">
        <is>
          <t>Guideline Email (UCD)</t>
        </is>
      </c>
      <c r="F8" s="3" t="inlineStr">
        <is>
          <t>Guideline email is received by the UCD — To and CC</t>
        </is>
      </c>
      <c r="G8" s="3" t="inlineStr">
        <is>
          <t>CH1-02 passed (Application Approved). Values from the run log (black window) block READY FOR MANUAL EMAIL CHECK and the expected-email file 04-runs/12341_CH1_&lt;run&gt;.md.</t>
        </is>
      </c>
      <c r="H8" s="3" t="inlineStr">
        <is>
          <t>1. In Mailtrap, search the admin email and the director email from the run log.
2. Open the email whose subject starts 'RHB Online / Branch Account Opening'.
3. Open its headers (To, CC) and note the received time.</t>
        </is>
      </c>
      <c r="I8" s="3" t="inlineStr">
        <is>
          <t>1. Exactly one such email for this Application.
2. To = the UCD email recorded in the Application — record WHICH address it is (admin or director, Q-04).
3. CC = apply@eauto.my.
4. Received after the 'approved' time in the run log.</t>
        </is>
      </c>
      <c r="J8" s="3" t="inlineStr">
        <is>
          <t>REQ-001, REQ-002</t>
        </is>
      </c>
      <c r="K8" s="29" t="inlineStr">
        <is>
          <t>High</t>
        </is>
      </c>
      <c r="L8" s="3" t="inlineStr">
        <is>
          <t>Functional</t>
        </is>
      </c>
      <c r="M8" s="3" t="inlineStr"/>
      <c r="N8" s="29" t="inlineStr">
        <is>
          <t>Not Run</t>
        </is>
      </c>
      <c r="O8" s="3" t="inlineStr"/>
      <c r="P8" s="47" t="inlineStr"/>
      <c r="Q8" s="3" t="inlineStr"/>
      <c r="R8" s="3" t="inlineStr"/>
      <c r="S8" s="3" t="inlineStr">
        <is>
          <t>Sender (From) not checked — still pending Operations (Q-12).</t>
        </is>
      </c>
    </row>
    <row r="9" ht="84" customHeight="1">
      <c r="A9" s="29" t="n">
        <v>6</v>
      </c>
      <c r="B9" s="46" t="inlineStr">
        <is>
          <t>CH1-06</t>
        </is>
      </c>
      <c r="C9" s="3" t="inlineStr">
        <is>
          <t>Sdn Bhd / Bhd</t>
        </is>
      </c>
      <c r="D9" s="29" t="inlineStr">
        <is>
          <t>CH1</t>
        </is>
      </c>
      <c r="E9" s="49" t="inlineStr">
        <is>
          <t>Guideline Email (UCD)</t>
        </is>
      </c>
      <c r="F9" s="3" t="inlineStr">
        <is>
          <t>Guideline email subject</t>
        </is>
      </c>
      <c r="G9" s="3" t="inlineStr">
        <is>
          <t>CH1-02 passed (Application Approved). Values from the run log (black window) block READY FOR MANUAL EMAIL CHECK and the expected-email file 04-runs/12341_CH1_&lt;run&gt;.md.</t>
        </is>
      </c>
      <c r="H9" s="3" t="inlineStr">
        <is>
          <t>1. Open the guideline email.
2. Read the subject exactly as shown.</t>
        </is>
      </c>
      <c r="I9" s="3" t="inlineStr">
        <is>
          <t>1. Subject = 'RHB Online / Branch Account Opening - &lt;Application No&gt; - &lt;Company Name&gt;'.
2. &lt;Application No&gt; = the NA number in the run log; &lt;Company Name&gt; = the run's company name.
3. Not the old v1.1 subjects 'RHB Online Account Opening - …' or 'RHB Branch Account Opening - …'.</t>
        </is>
      </c>
      <c r="J9" s="3" t="inlineStr">
        <is>
          <t>REQ-005</t>
        </is>
      </c>
      <c r="K9" s="29" t="inlineStr">
        <is>
          <t>High</t>
        </is>
      </c>
      <c r="L9" s="3" t="inlineStr">
        <is>
          <t>Functional</t>
        </is>
      </c>
      <c r="M9" s="3" t="inlineStr"/>
      <c r="N9" s="29" t="inlineStr">
        <is>
          <t>Not Run</t>
        </is>
      </c>
      <c r="O9" s="3" t="inlineStr"/>
      <c r="P9" s="47" t="inlineStr"/>
      <c r="Q9" s="3" t="inlineStr"/>
      <c r="R9" s="3" t="inlineStr"/>
      <c r="S9" s="3" t="inlineStr"/>
    </row>
    <row r="10" ht="168" customHeight="1">
      <c r="A10" s="29" t="n">
        <v>7</v>
      </c>
      <c r="B10" s="46" t="inlineStr">
        <is>
          <t>CH1-07</t>
        </is>
      </c>
      <c r="C10" s="3" t="inlineStr">
        <is>
          <t>Sdn Bhd / Bhd</t>
        </is>
      </c>
      <c r="D10" s="29" t="inlineStr">
        <is>
          <t>CH1</t>
        </is>
      </c>
      <c r="E10" s="49" t="inlineStr">
        <is>
          <t>Guideline Email (UCD)</t>
        </is>
      </c>
      <c r="F10" s="3" t="inlineStr">
        <is>
          <t>Guideline email body — same combined template (online + branch options)</t>
        </is>
      </c>
      <c r="G10" s="3" t="inlineStr">
        <is>
          <t>CH1-02 passed (Application Approved). Values from the run log (black window) block READY FOR MANUAL EMAIL CHECK and the expected-email file 04-runs/12341_CH1_&lt;run&gt;.md.</t>
        </is>
      </c>
      <c r="H10" s="3" t="inlineStr">
        <is>
          <t>1. Open the email body (HTML view).
2. Compare paragraph by paragraph with sheet 'Expected Templates' → 'Email Template 1 — Body' (or the 04-runs file).
3. Check the Text view too if Mailtrap shows one.</t>
        </is>
      </c>
      <c r="I10" s="3" t="inlineStr">
        <is>
          <t>1. Every paragraph present, in order, same wording.
2. Application No and Company Name show the run's values.
3. Contains 'within three (3) working days', 'Option 1 – Online Account Opening' (with the four (4) users note and seven (7) days) and 'Option 2 – Account Opening at RHB Branch'.
4. Ends with the signature block (Thank you / Best regards / eAuto Sdn Bhd / address / Customer Service / WhatsApp) — Q-01.
5. Does NOT contain 'As your company meets the eligibility requirements…' nor 'Please bring the documents provided by RHB…'.</t>
        </is>
      </c>
      <c r="J10" s="3" t="inlineStr">
        <is>
          <t>REQ-005</t>
        </is>
      </c>
      <c r="K10" s="29" t="inlineStr">
        <is>
          <t>High</t>
        </is>
      </c>
      <c r="L10" s="3" t="inlineStr">
        <is>
          <t>Functional</t>
        </is>
      </c>
      <c r="M10" s="3" t="inlineStr"/>
      <c r="N10" s="29" t="inlineStr">
        <is>
          <t>Not Run</t>
        </is>
      </c>
      <c r="O10" s="3" t="inlineStr"/>
      <c r="P10" s="47" t="inlineStr"/>
      <c r="Q10" s="3" t="inlineStr"/>
      <c r="R10" s="3" t="inlineStr"/>
      <c r="S10" s="3" t="inlineStr">
        <is>
          <t>Same expected text for every business type — REQ-005 Example 1 and Example 2 both send Email Template 1. Main run — do it first. Carries the extra checks CH1-20 (old email) and CH1-21 (hardcopy regression).</t>
        </is>
      </c>
    </row>
    <row r="11" ht="112" customHeight="1">
      <c r="A11" s="29" t="n">
        <v>8</v>
      </c>
      <c r="B11" s="46" t="inlineStr">
        <is>
          <t>CH1-08</t>
        </is>
      </c>
      <c r="C11" s="3" t="inlineStr">
        <is>
          <t>Sdn Bhd / Bhd</t>
        </is>
      </c>
      <c r="D11" s="29" t="inlineStr">
        <is>
          <t>CH1</t>
        </is>
      </c>
      <c r="E11" s="49" t="inlineStr">
        <is>
          <t>Guideline Email (UCD)</t>
        </is>
      </c>
      <c r="F11" s="3" t="inlineStr">
        <is>
          <t>Links in the guideline email</t>
        </is>
      </c>
      <c r="G11" s="3" t="inlineStr">
        <is>
          <t>CH1-02 passed (Application Approved). Values from the run log (black window) block READY FOR MANUAL EMAIL CHECK and the expected-email file 04-runs/12341_CH1_&lt;run&gt;.md.</t>
        </is>
      </c>
      <c r="H11" s="3" t="inlineStr">
        <is>
          <t>1. Hover over the link under 'Option 1 – Online Account Opening' and note the target.
2. Hover over the Application Link near the end.
3. Click the RHB link.
4. Open the Application Link in a fresh browser window.</t>
        </is>
      </c>
      <c r="I11" s="3" t="inlineStr">
        <is>
          <t>1. Option 1 link target = https://smecaonline.rhbgroup.com/sme/online?tag=campaign.
2. The Application Link is a clickable URL, not the text '[Application Link]'.
3. The RHB link opens the RHB SME online page.
4. The Application Link opens the page agreed in Q-03 for THIS Application (no error page).</t>
        </is>
      </c>
      <c r="J11" s="3" t="inlineStr">
        <is>
          <t>REQ-005</t>
        </is>
      </c>
      <c r="K11" s="29" t="inlineStr">
        <is>
          <t>High</t>
        </is>
      </c>
      <c r="L11" s="3" t="inlineStr">
        <is>
          <t>Functional</t>
        </is>
      </c>
      <c r="M11" s="3" t="inlineStr"/>
      <c r="N11" s="29" t="inlineStr">
        <is>
          <t>Not Run</t>
        </is>
      </c>
      <c r="O11" s="3" t="inlineStr"/>
      <c r="P11" s="47" t="inlineStr"/>
      <c r="Q11" s="3" t="inlineStr"/>
      <c r="R11" s="3" t="inlineStr"/>
      <c r="S11" s="3" t="inlineStr">
        <is>
          <t>Where the Application Link must land is not in the SRD (Q-03).</t>
        </is>
      </c>
    </row>
    <row r="12" ht="98" customHeight="1">
      <c r="A12" s="29" t="n">
        <v>9</v>
      </c>
      <c r="B12" s="46" t="inlineStr">
        <is>
          <t>CH1-09</t>
        </is>
      </c>
      <c r="C12" s="3" t="inlineStr">
        <is>
          <t>Sdn Bhd / Bhd</t>
        </is>
      </c>
      <c r="D12" s="29" t="inlineStr">
        <is>
          <t>CH1</t>
        </is>
      </c>
      <c r="E12" s="49" t="inlineStr">
        <is>
          <t>Guideline Email (UCD)</t>
        </is>
      </c>
      <c r="F12" s="3" t="inlineStr">
        <is>
          <t>Appointment Letter attached to the guideline email</t>
        </is>
      </c>
      <c r="G12" s="3" t="inlineStr">
        <is>
          <t>CH1-02 passed (Application Approved). Values from the run log (black window) block READY FOR MANUAL EMAIL CHECK and the expected-email file 04-runs/12341_CH1_&lt;run&gt;.md.</t>
        </is>
      </c>
      <c r="H12" s="3" t="inlineStr">
        <is>
          <t>1. Open the Attachments tab of the guideline email.
2. Note file name, type and size.
3. Download and open it.</t>
        </is>
      </c>
      <c r="I12" s="3" t="inlineStr">
        <is>
          <t>1. Exactly one attachment: the Appointment Letter.
2. It opens without error.
3. It is for THIS Application (company name and Application No match).
4. No Offer Letter, Direct Debit form or Board of Resolution attached.</t>
        </is>
      </c>
      <c r="J12" s="3" t="inlineStr">
        <is>
          <t>REQ-008</t>
        </is>
      </c>
      <c r="K12" s="29" t="inlineStr">
        <is>
          <t>High</t>
        </is>
      </c>
      <c r="L12" s="3" t="inlineStr">
        <is>
          <t>Functional</t>
        </is>
      </c>
      <c r="M12" s="3" t="inlineStr"/>
      <c r="N12" s="29" t="inlineStr">
        <is>
          <t>Not Run</t>
        </is>
      </c>
      <c r="O12" s="3" t="inlineStr"/>
      <c r="P12" s="47" t="inlineStr"/>
      <c r="Q12" s="3" t="inlineStr"/>
      <c r="R12" s="3" t="inlineStr"/>
      <c r="S12" s="3" t="inlineStr">
        <is>
          <t>File type and name not specified (Q-08) — record them.</t>
        </is>
      </c>
    </row>
    <row r="13" ht="56" customHeight="1">
      <c r="A13" s="29" t="n">
        <v>10</v>
      </c>
      <c r="B13" s="46" t="inlineStr">
        <is>
          <t>CH1-10</t>
        </is>
      </c>
      <c r="C13" s="3" t="inlineStr">
        <is>
          <t>Sdn Bhd / Bhd</t>
        </is>
      </c>
      <c r="D13" s="29" t="inlineStr">
        <is>
          <t>CH1</t>
        </is>
      </c>
      <c r="E13" s="49" t="inlineStr">
        <is>
          <t>Guideline Email (UCD)</t>
        </is>
      </c>
      <c r="F13" s="3" t="inlineStr">
        <is>
          <t>Removed templates are not sent</t>
        </is>
      </c>
      <c r="G13" s="3" t="inlineStr">
        <is>
          <t>CH1-02 passed (Application Approved). Values from the run log (black window) block READY FOR MANUAL EMAIL CHECK and the expected-email file 04-runs/12341_CH1_&lt;run&gt;.md.</t>
        </is>
      </c>
      <c r="H13" s="3" t="inlineStr">
        <is>
          <t>1. In Mailtrap, list every email to the run's addresses after the 'approved' time.</t>
        </is>
      </c>
      <c r="I13" s="3" t="inlineStr">
        <is>
          <t>1. No email with subject 'RHB Branch Account Opening - …' (old Email Template 2).
2. No email with subject 'RHB Online Account Opening - …' without '/ Branch' (old Email Template 1).</t>
        </is>
      </c>
      <c r="J13" s="3" t="inlineStr">
        <is>
          <t>REQ-003 / REQ-004 removed, REQ-005</t>
        </is>
      </c>
      <c r="K13" s="29" t="inlineStr">
        <is>
          <t>Medium</t>
        </is>
      </c>
      <c r="L13" s="3" t="inlineStr">
        <is>
          <t>Negative</t>
        </is>
      </c>
      <c r="M13" s="3" t="inlineStr"/>
      <c r="N13" s="29" t="inlineStr">
        <is>
          <t>Not Run</t>
        </is>
      </c>
      <c r="O13" s="3" t="inlineStr"/>
      <c r="P13" s="47" t="inlineStr"/>
      <c r="Q13" s="3" t="inlineStr"/>
      <c r="R13" s="3" t="inlineStr"/>
      <c r="S13" s="3" t="inlineStr"/>
    </row>
    <row r="14" ht="98" customHeight="1">
      <c r="A14" s="29" t="n">
        <v>11</v>
      </c>
      <c r="B14" s="46" t="inlineStr">
        <is>
          <t>CH1-11</t>
        </is>
      </c>
      <c r="C14" s="3" t="inlineStr">
        <is>
          <t>Sdn Bhd / Bhd</t>
        </is>
      </c>
      <c r="D14" s="29" t="inlineStr">
        <is>
          <t>CH1</t>
        </is>
      </c>
      <c r="E14" s="50" t="inlineStr">
        <is>
          <t>RHB Support Email</t>
        </is>
      </c>
      <c r="F14" s="3" t="inlineStr">
        <is>
          <t>RHB Support email — To and CC</t>
        </is>
      </c>
      <c r="G14" s="3" t="inlineStr">
        <is>
          <t>CH1-02 passed (Application Approved). Values from the run log (black window) block READY FOR MANUAL EMAIL CHECK and the expected-email file 04-runs/12341_CH1_&lt;run&gt;.md.</t>
        </is>
      </c>
      <c r="H14" s="3" t="inlineStr">
        <is>
          <t>1. In Mailtrap, search the run's admin / director email (it is in CC of this email).
2. Open the email whose subject starts 'Approved eAuto Registration'.
3. Open its headers.</t>
        </is>
      </c>
      <c r="I14" s="3" t="inlineStr">
        <is>
          <t>1. To = BIS.Support@rhbgroup.com.
2. CC contains the UCD email recorded in the Application AND apply@eauto.my.
3. Received after the 'approved' time.
4. The email is in Mailtrap only — nothing reached RHB (Q-17).</t>
        </is>
      </c>
      <c r="J14" s="3" t="inlineStr">
        <is>
          <t>REQ-006</t>
        </is>
      </c>
      <c r="K14" s="29" t="inlineStr">
        <is>
          <t>High</t>
        </is>
      </c>
      <c r="L14" s="3" t="inlineStr">
        <is>
          <t>Functional</t>
        </is>
      </c>
      <c r="M14" s="3" t="inlineStr"/>
      <c r="N14" s="29" t="inlineStr">
        <is>
          <t>Not Run</t>
        </is>
      </c>
      <c r="O14" s="3" t="inlineStr"/>
      <c r="P14" s="47" t="inlineStr"/>
      <c r="Q14" s="3" t="inlineStr"/>
      <c r="R14" s="3" t="inlineStr"/>
      <c r="S14" s="3" t="inlineStr"/>
    </row>
    <row r="15" ht="84" customHeight="1">
      <c r="A15" s="29" t="n">
        <v>12</v>
      </c>
      <c r="B15" s="46" t="inlineStr">
        <is>
          <t>CH1-12</t>
        </is>
      </c>
      <c r="C15" s="3" t="inlineStr">
        <is>
          <t>Sdn Bhd / Bhd</t>
        </is>
      </c>
      <c r="D15" s="29" t="inlineStr">
        <is>
          <t>CH1</t>
        </is>
      </c>
      <c r="E15" s="50" t="inlineStr">
        <is>
          <t>RHB Support Email</t>
        </is>
      </c>
      <c r="F15" s="3" t="inlineStr">
        <is>
          <t>RHB Support email subject</t>
        </is>
      </c>
      <c r="G15" s="3" t="inlineStr">
        <is>
          <t>CH1-02 passed (Application Approved). Values from the run log (black window) block READY FOR MANUAL EMAIL CHECK and the expected-email file 04-runs/12341_CH1_&lt;run&gt;.md.</t>
        </is>
      </c>
      <c r="H15" s="3" t="inlineStr">
        <is>
          <t>1. Open the RHB Support email.
2. Read the subject.</t>
        </is>
      </c>
      <c r="I15" s="3" t="inlineStr">
        <is>
          <t>1. Subject = 'Approved eAuto Registration - &lt;Company Name&gt; - &lt;BRN Number&gt;'.
2. &lt;Company Name&gt; = the run's company name.
3. &lt;BRN Number&gt; = the number agreed in Q-05 (SRD example shows the 12-digit new number) — record which one.</t>
        </is>
      </c>
      <c r="J15" s="3" t="inlineStr">
        <is>
          <t>REQ-009</t>
        </is>
      </c>
      <c r="K15" s="29" t="inlineStr">
        <is>
          <t>High</t>
        </is>
      </c>
      <c r="L15" s="3" t="inlineStr">
        <is>
          <t>Functional</t>
        </is>
      </c>
      <c r="M15" s="3" t="inlineStr"/>
      <c r="N15" s="29" t="inlineStr">
        <is>
          <t>Not Run</t>
        </is>
      </c>
      <c r="O15" s="3" t="inlineStr"/>
      <c r="P15" s="47" t="inlineStr"/>
      <c r="Q15" s="3" t="inlineStr"/>
      <c r="R15" s="3" t="inlineStr"/>
      <c r="S15" s="3" t="inlineStr"/>
    </row>
    <row r="16" ht="112" customHeight="1">
      <c r="A16" s="29" t="n">
        <v>13</v>
      </c>
      <c r="B16" s="46" t="inlineStr">
        <is>
          <t>CH1-13</t>
        </is>
      </c>
      <c r="C16" s="3" t="inlineStr">
        <is>
          <t>Sdn Bhd / Bhd</t>
        </is>
      </c>
      <c r="D16" s="29" t="inlineStr">
        <is>
          <t>CH1</t>
        </is>
      </c>
      <c r="E16" s="50" t="inlineStr">
        <is>
          <t>RHB Support Email</t>
        </is>
      </c>
      <c r="F16" s="3" t="inlineStr">
        <is>
          <t>RHB Support email body — values and wording</t>
        </is>
      </c>
      <c r="G16" s="3" t="inlineStr">
        <is>
          <t>CH1-02 passed (Application Approved). Values from the run log (black window) block READY FOR MANUAL EMAIL CHECK and the expected-email file 04-runs/12341_CH1_&lt;run&gt;.md.</t>
        </is>
      </c>
      <c r="H16" s="3" t="inlineStr">
        <is>
          <t>1. Open the body.
2. Compare with sheet 'Expected Templates' → 'Email Template 3 — Body'.
3. Compare each value line with the Application.</t>
        </is>
      </c>
      <c r="I16" s="3" t="inlineStr">
        <is>
          <t>1. Every paragraph present, in order, same wording (1 working day request, Reply All instruction, signature block).
2. Company Name / Business Registration Number / UCD Contact Person / Contact Number / Email Address show the Application's values (which contact: Q-04).
3. Does NOT contain 'The above company is not eligible for RHB's online account-opening process…'.</t>
        </is>
      </c>
      <c r="J16" s="3" t="inlineStr">
        <is>
          <t>REQ-009</t>
        </is>
      </c>
      <c r="K16" s="29" t="inlineStr">
        <is>
          <t>High</t>
        </is>
      </c>
      <c r="L16" s="3" t="inlineStr">
        <is>
          <t>Functional</t>
        </is>
      </c>
      <c r="M16" s="3" t="inlineStr"/>
      <c r="N16" s="29" t="inlineStr">
        <is>
          <t>Not Run</t>
        </is>
      </c>
      <c r="O16" s="3" t="inlineStr"/>
      <c r="P16" s="47" t="inlineStr"/>
      <c r="Q16" s="3" t="inlineStr"/>
      <c r="R16" s="3" t="inlineStr"/>
      <c r="S16" s="3" t="inlineStr">
        <is>
          <t>The robot uses different name / mobile / email for Admin and Director, so this email shows which one the system takes (Q-04).</t>
        </is>
      </c>
    </row>
    <row r="17" ht="48" customHeight="1">
      <c r="A17" s="29" t="n">
        <v>14</v>
      </c>
      <c r="B17" s="46" t="inlineStr">
        <is>
          <t>CH1-14</t>
        </is>
      </c>
      <c r="C17" s="3" t="inlineStr">
        <is>
          <t>Sdn Bhd / Bhd</t>
        </is>
      </c>
      <c r="D17" s="29" t="inlineStr">
        <is>
          <t>CH1</t>
        </is>
      </c>
      <c r="E17" s="50" t="inlineStr">
        <is>
          <t>RHB Support Email</t>
        </is>
      </c>
      <c r="F17" s="3" t="inlineStr">
        <is>
          <t>Appointment Letter attached to the RHB Support email</t>
        </is>
      </c>
      <c r="G17" s="3" t="inlineStr">
        <is>
          <t>CH1-02 passed (Application Approved). Values from the run log (black window) block READY FOR MANUAL EMAIL CHECK and the expected-email file 04-runs/12341_CH1_&lt;run&gt;.md.</t>
        </is>
      </c>
      <c r="H17" s="3" t="inlineStr">
        <is>
          <t>1. Open the Attachments tab.
2. Download and open the attachment.</t>
        </is>
      </c>
      <c r="I17" s="3" t="inlineStr">
        <is>
          <t>1. Exactly one attachment: the Appointment Letter for THIS Application.
2. It opens without error.</t>
        </is>
      </c>
      <c r="J17" s="3" t="inlineStr">
        <is>
          <t>REQ-008</t>
        </is>
      </c>
      <c r="K17" s="29" t="inlineStr">
        <is>
          <t>High</t>
        </is>
      </c>
      <c r="L17" s="3" t="inlineStr">
        <is>
          <t>Functional</t>
        </is>
      </c>
      <c r="M17" s="3" t="inlineStr"/>
      <c r="N17" s="29" t="inlineStr">
        <is>
          <t>Not Run</t>
        </is>
      </c>
      <c r="O17" s="3" t="inlineStr"/>
      <c r="P17" s="47" t="inlineStr"/>
      <c r="Q17" s="3" t="inlineStr"/>
      <c r="R17" s="3" t="inlineStr"/>
      <c r="S17" s="3" t="inlineStr"/>
    </row>
    <row r="18" ht="196" customHeight="1">
      <c r="A18" s="29" t="n">
        <v>15</v>
      </c>
      <c r="B18" s="46" t="inlineStr">
        <is>
          <t>CH1-15</t>
        </is>
      </c>
      <c r="C18" s="3" t="inlineStr">
        <is>
          <t>Sdn Bhd / Bhd</t>
        </is>
      </c>
      <c r="D18" s="29" t="inlineStr">
        <is>
          <t>CH1</t>
        </is>
      </c>
      <c r="E18" s="51" t="inlineStr">
        <is>
          <t>Appointment Letter</t>
        </is>
      </c>
      <c r="F18" s="3" t="inlineStr">
        <is>
          <t>Appointment Letter layout and fixed text</t>
        </is>
      </c>
      <c r="G18" s="3" t="inlineStr">
        <is>
          <t>CH1-02 passed (Application Approved). Values from the run log (black window) block READY FOR MANUAL EMAIL CHECK and the expected-email file 04-runs/12341_CH1_&lt;run&gt;.md.</t>
        </is>
      </c>
      <c r="H18" s="3" t="inlineStr">
        <is>
          <t>1. Open the letter from the guideline email.
2. Compare with sheet 'Expected Templates' → 'Appointment Letter' and with Sample_Appointment_Letter_v2.0.
3. Check header, body, signature and footer on every page.</t>
        </is>
      </c>
      <c r="I18" s="3" t="inlineStr">
        <is>
          <t>1. Title 'LETTER OF CONFIRMATION OF REGISTRATION AS A USED CAR DEALER (UCD) UNDER eAUTO SDN. BHD. PLATFORM' (spacing: Q-10).
2. Letterhead: eAuto logo, 'eAuto Sdn Bhd 200401038456 (676967-T)', address, 'Tel: 03-2779 8893'.
3. Clauses 1–8 numbered, wording as the template; Clause 6 refers to 'Clause 5'.
4. Registration details table (UCD Name / Company Registration No. / UCD / Dealer Reference No.).
5. Signature image, 'CHIA KET MING', 'COO'; footer 'Website: www.eauto.my | Customer Service: 03-2779 8899 | Email: support@eauto.my'.
6. No layout break (cut text, overlap, blank page).</t>
        </is>
      </c>
      <c r="J18" s="3" t="inlineStr">
        <is>
          <t>REQ-007</t>
        </is>
      </c>
      <c r="K18" s="29" t="inlineStr">
        <is>
          <t>High</t>
        </is>
      </c>
      <c r="L18" s="3" t="inlineStr">
        <is>
          <t>Functional</t>
        </is>
      </c>
      <c r="M18" s="3" t="inlineStr"/>
      <c r="N18" s="29" t="inlineStr">
        <is>
          <t>Not Run</t>
        </is>
      </c>
      <c r="O18" s="3" t="inlineStr"/>
      <c r="P18" s="47" t="inlineStr"/>
      <c r="Q18" s="3" t="inlineStr"/>
      <c r="R18" s="3" t="inlineStr"/>
      <c r="S18" s="3" t="inlineStr"/>
    </row>
    <row r="19" ht="182" customHeight="1">
      <c r="A19" s="29" t="n">
        <v>16</v>
      </c>
      <c r="B19" s="46" t="inlineStr">
        <is>
          <t>CH1-16</t>
        </is>
      </c>
      <c r="C19" s="3" t="inlineStr">
        <is>
          <t>Sdn Bhd / Bhd</t>
        </is>
      </c>
      <c r="D19" s="29" t="inlineStr">
        <is>
          <t>CH1</t>
        </is>
      </c>
      <c r="E19" s="51" t="inlineStr">
        <is>
          <t>Appointment Letter</t>
        </is>
      </c>
      <c r="F19" s="3" t="inlineStr">
        <is>
          <t>Appointment Letter pre-filled values</t>
        </is>
      </c>
      <c r="G19" s="3" t="inlineStr">
        <is>
          <t>CH1-02 passed (Application Approved). Values from the run log (black window) block READY FOR MANUAL EMAIL CHECK and the expected-email file 04-runs/12341_CH1_&lt;run&gt;.md. SSM details from CH1-03.</t>
        </is>
      </c>
      <c r="H19" s="3" t="inlineStr">
        <is>
          <t>1. Open the letter.
2. Compare each value with its source (run log, Application, Pre-Application SSM details).</t>
        </is>
      </c>
      <c r="I19" s="3" t="inlineStr">
        <is>
          <t>1. Date = Application approval date, DD/MM/YYYY.
2. Our Ref = eAuto/OPS/UCD/&lt;Application No&gt;/&lt;approval year&gt; (square brackets: Q-07).
3. UCD Company Name = the Application's company name (recipient block, Clause 1, Clause 4).
4. Company Registration No. = &lt;ROC no. with letter&gt; (&lt;12-digit no.&gt;), e.g. 1511229-A (202301017307) — identical in recipient block, Clause 1 and Clause 4.
5. Company Address = the Application's company address (which field: Q-06).
6. UCD / Dealer Reference No. = '&lt;Pre-Application No&gt; / &lt;Application No&gt;'.</t>
        </is>
      </c>
      <c r="J19" s="3" t="inlineStr">
        <is>
          <t>REQ-007</t>
        </is>
      </c>
      <c r="K19" s="29" t="inlineStr">
        <is>
          <t>High</t>
        </is>
      </c>
      <c r="L19" s="3" t="inlineStr">
        <is>
          <t>Functional</t>
        </is>
      </c>
      <c r="M19" s="3" t="inlineStr"/>
      <c r="N19" s="29" t="inlineStr">
        <is>
          <t>Not Run</t>
        </is>
      </c>
      <c r="O19" s="3" t="inlineStr"/>
      <c r="P19" s="47" t="inlineStr"/>
      <c r="Q19" s="3" t="inlineStr"/>
      <c r="R19" s="3" t="inlineStr"/>
      <c r="S19" s="3" t="inlineStr"/>
    </row>
    <row r="20" ht="48" customHeight="1">
      <c r="A20" s="29" t="n">
        <v>17</v>
      </c>
      <c r="B20" s="46" t="inlineStr">
        <is>
          <t>CH1-17</t>
        </is>
      </c>
      <c r="C20" s="3" t="inlineStr">
        <is>
          <t>Sdn Bhd / Bhd</t>
        </is>
      </c>
      <c r="D20" s="29" t="inlineStr">
        <is>
          <t>CH1</t>
        </is>
      </c>
      <c r="E20" s="51" t="inlineStr">
        <is>
          <t>Appointment Letter</t>
        </is>
      </c>
      <c r="F20" s="3" t="inlineStr">
        <is>
          <t>Same Appointment Letter on both emails</t>
        </is>
      </c>
      <c r="G20" s="3" t="inlineStr">
        <is>
          <t>CH1-02 passed (Application Approved). Values from the run log (black window) block READY FOR MANUAL EMAIL CHECK and the expected-email file 04-runs/12341_CH1_&lt;run&gt;.md.</t>
        </is>
      </c>
      <c r="H20" s="3" t="inlineStr">
        <is>
          <t>1. Download the attachment of the guideline email and of the RHB Support email.
2. Compare them.</t>
        </is>
      </c>
      <c r="I20" s="3" t="inlineStr">
        <is>
          <t>1. Same file name and size.
2. Same Our Ref, date, company, registration number and reference numbers.</t>
        </is>
      </c>
      <c r="J20" s="3" t="inlineStr">
        <is>
          <t>REQ-008</t>
        </is>
      </c>
      <c r="K20" s="29" t="inlineStr">
        <is>
          <t>Medium</t>
        </is>
      </c>
      <c r="L20" s="3" t="inlineStr">
        <is>
          <t>Functional</t>
        </is>
      </c>
      <c r="M20" s="3" t="inlineStr"/>
      <c r="N20" s="29" t="inlineStr">
        <is>
          <t>Not Run</t>
        </is>
      </c>
      <c r="O20" s="3" t="inlineStr"/>
      <c r="P20" s="47" t="inlineStr"/>
      <c r="Q20" s="3" t="inlineStr"/>
      <c r="R20" s="3" t="inlineStr"/>
      <c r="S20" s="3" t="inlineStr"/>
    </row>
    <row r="21" ht="98" customHeight="1">
      <c r="A21" s="29" t="n">
        <v>18</v>
      </c>
      <c r="B21" s="46" t="inlineStr">
        <is>
          <t>CH1-18</t>
        </is>
      </c>
      <c r="C21" s="3" t="inlineStr">
        <is>
          <t>Sdn Bhd / Bhd</t>
        </is>
      </c>
      <c r="D21" s="29" t="inlineStr">
        <is>
          <t>CH1</t>
        </is>
      </c>
      <c r="E21" s="48" t="inlineStr">
        <is>
          <t>Negative &amp; Regression</t>
        </is>
      </c>
      <c r="F21" s="3" t="inlineStr">
        <is>
          <t>No unresolved placeholders anywhere</t>
        </is>
      </c>
      <c r="G21" s="3" t="inlineStr">
        <is>
          <t>CH1-02 passed (Application Approved). Values from the run log (black window) block READY FOR MANUAL EMAIL CHECK and the expected-email file 04-runs/12341_CH1_&lt;run&gt;.md.</t>
        </is>
      </c>
      <c r="H21" s="3" t="inlineStr">
        <is>
          <t>1. In both emails, search the subject and body for '[' and ']'.
2. In the letter, search for '[' and ']'.</t>
        </is>
      </c>
      <c r="I21" s="3" t="inlineStr">
        <is>
          <t>1. None of these appear literally: [Application No], [Company Name], [BRN Number], [Name], [Contact Number], [UCD Email Address], [RHB Online Registration Link], [Application Link], [DD/MM/YYYY], [YYYY], [UCD Company Name], [Old BRN], [New BRN], [Company Address], [Pre-Application No].
2. No empty value (e.g. 'Company Name: ' with nothing after it).</t>
        </is>
      </c>
      <c r="J21" s="3" t="inlineStr">
        <is>
          <t>REQ-005, REQ-007, REQ-009</t>
        </is>
      </c>
      <c r="K21" s="29" t="inlineStr">
        <is>
          <t>High</t>
        </is>
      </c>
      <c r="L21" s="3" t="inlineStr">
        <is>
          <t>Negative</t>
        </is>
      </c>
      <c r="M21" s="3" t="inlineStr"/>
      <c r="N21" s="29" t="inlineStr">
        <is>
          <t>Not Run</t>
        </is>
      </c>
      <c r="O21" s="3" t="inlineStr"/>
      <c r="P21" s="47" t="inlineStr"/>
      <c r="Q21" s="3" t="inlineStr"/>
      <c r="R21" s="3" t="inlineStr"/>
      <c r="S21" s="3" t="inlineStr">
        <is>
          <t>Brackets kept around a filled value in the letter are Q-07, not a failure here.</t>
        </is>
      </c>
    </row>
    <row r="22" ht="48" customHeight="1">
      <c r="A22" s="29" t="n">
        <v>19</v>
      </c>
      <c r="B22" s="46" t="inlineStr">
        <is>
          <t>CH1-19</t>
        </is>
      </c>
      <c r="C22" s="3" t="inlineStr">
        <is>
          <t>Sdn Bhd / Bhd</t>
        </is>
      </c>
      <c r="D22" s="29" t="inlineStr">
        <is>
          <t>CH1</t>
        </is>
      </c>
      <c r="E22" s="48" t="inlineStr">
        <is>
          <t>Negative &amp; Regression</t>
        </is>
      </c>
      <c r="F22" s="3" t="inlineStr">
        <is>
          <t>Exactly one of each email per approval (no duplicates)</t>
        </is>
      </c>
      <c r="G22" s="3" t="inlineStr">
        <is>
          <t>CH1-02 passed (Application Approved). Values from the run log (black window) block READY FOR MANUAL EMAIL CHECK and the expected-email file 04-runs/12341_CH1_&lt;run&gt;.md.</t>
        </is>
      </c>
      <c r="H22" s="3" t="inlineStr">
        <is>
          <t>1. Wait 10 minutes after the 'approved' time (Q-16).
2. In Mailtrap, count the emails for this Application by subject.</t>
        </is>
      </c>
      <c r="I22" s="3" t="inlineStr">
        <is>
          <t>1. Exactly 1 × 'RHB Online / Branch Account Opening - …'.
2. Exactly 1 × 'Approved eAuto Registration - …'.</t>
        </is>
      </c>
      <c r="J22" s="3" t="inlineStr">
        <is>
          <t>REQ-001</t>
        </is>
      </c>
      <c r="K22" s="29" t="inlineStr">
        <is>
          <t>Medium</t>
        </is>
      </c>
      <c r="L22" s="3" t="inlineStr">
        <is>
          <t>Negative</t>
        </is>
      </c>
      <c r="M22" s="3" t="inlineStr"/>
      <c r="N22" s="29" t="inlineStr">
        <is>
          <t>Not Run</t>
        </is>
      </c>
      <c r="O22" s="3" t="inlineStr"/>
      <c r="P22" s="47" t="inlineStr"/>
      <c r="Q22" s="3" t="inlineStr"/>
      <c r="R22" s="3" t="inlineStr"/>
      <c r="S22" s="3" t="inlineStr"/>
    </row>
    <row r="23" ht="56" customHeight="1">
      <c r="A23" s="29" t="n">
        <v>20</v>
      </c>
      <c r="B23" s="46" t="inlineStr">
        <is>
          <t>CH1-20</t>
        </is>
      </c>
      <c r="C23" s="3" t="inlineStr">
        <is>
          <t>Sdn Bhd / Bhd</t>
        </is>
      </c>
      <c r="D23" s="29" t="inlineStr">
        <is>
          <t>CH1</t>
        </is>
      </c>
      <c r="E23" s="48" t="inlineStr">
        <is>
          <t>Negative &amp; Regression</t>
        </is>
      </c>
      <c r="F23" s="3" t="inlineStr">
        <is>
          <t>Old approved-application email (3 RHB documents) is NOT sent</t>
        </is>
      </c>
      <c r="G23" s="3" t="inlineStr">
        <is>
          <t>CH1-02 passed (Application Approved). Values from the run log (black window) block READY FOR MANUAL EMAIL CHECK and the expected-email file 04-runs/12341_CH1_&lt;run&gt;.md.</t>
        </is>
      </c>
      <c r="H23" s="3" t="inlineStr">
        <is>
          <t>1. In Mailtrap, list every email to the run's addresses after the 'approved' time.
2. Look for the old approved-application email (subject per Q-23).</t>
        </is>
      </c>
      <c r="I23" s="3" t="inlineStr">
        <is>
          <t>1. The old email is not received.
2. No eAuto email carries the Offer Letter, Direct Debit form or Board of Resolution.</t>
        </is>
      </c>
      <c r="J23" s="3" t="inlineStr">
        <is>
          <t>REQ-001</t>
        </is>
      </c>
      <c r="K23" s="29" t="inlineStr">
        <is>
          <t>High</t>
        </is>
      </c>
      <c r="L23" s="3" t="inlineStr">
        <is>
          <t>Regression / Negative</t>
        </is>
      </c>
      <c r="M23" s="3" t="inlineStr"/>
      <c r="N23" s="29" t="inlineStr">
        <is>
          <t>Not Run</t>
        </is>
      </c>
      <c r="O23" s="3" t="inlineStr"/>
      <c r="P23" s="47" t="inlineStr"/>
      <c r="Q23" s="3" t="inlineStr"/>
      <c r="R23" s="3" t="inlineStr"/>
      <c r="S23" s="3" t="inlineStr"/>
    </row>
    <row r="24" ht="112" customHeight="1">
      <c r="A24" s="29" t="n">
        <v>21</v>
      </c>
      <c r="B24" s="46" t="inlineStr">
        <is>
          <t>CH1-21</t>
        </is>
      </c>
      <c r="C24" s="3" t="inlineStr">
        <is>
          <t>Sdn Bhd / Bhd</t>
        </is>
      </c>
      <c r="D24" s="29" t="inlineStr">
        <is>
          <t>CH1</t>
        </is>
      </c>
      <c r="E24" s="48" t="inlineStr">
        <is>
          <t>Negative &amp; Regression</t>
        </is>
      </c>
      <c r="F24" s="3" t="inlineStr">
        <is>
          <t>Hardcopy resubmission still works after approval (EAINT-11763)</t>
        </is>
      </c>
      <c r="G24" s="3" t="inlineStr">
        <is>
          <t>CH1-02 passed (Application Approved). Values from the run log (black window) block READY FOR MANUAL EMAIL CHECK and the expected-email file 04-runs/12341_CH1_&lt;run&gt;.md. Run AFTER all other CH1 checks (it sends more emails).</t>
        </is>
      </c>
      <c r="H24" s="3" t="inlineStr">
        <is>
          <t>1. BackOffice &gt; Application: open the run's Application &gt; Registration Document.
2. Set Hardcopy Doc status to 'Pending UCD - Incomplete Docs' and click Update.
3. Click 'Request Hardcopy Resubmission', select documents, enter remarks, confirm.
4. In Mailtrap, open the resubmission email.</t>
        </is>
      </c>
      <c r="I24" s="3" t="inlineStr">
        <is>
          <t>1. Application status shows Approved, as before the CR.
2. The popup and its document checklist work as before.
3. The resubmission email goes to the UCD, CC apply@eauto.my, BCC the Assignee.
4. The Reverted Reason shows on the Registration Document page.</t>
        </is>
      </c>
      <c r="J24" s="3" t="inlineStr">
        <is>
          <t>REQ-001 (approval handling unchanged)</t>
        </is>
      </c>
      <c r="K24" s="29" t="inlineStr">
        <is>
          <t>Medium</t>
        </is>
      </c>
      <c r="L24" s="3" t="inlineStr">
        <is>
          <t>Regression</t>
        </is>
      </c>
      <c r="M24" s="3" t="inlineStr"/>
      <c r="N24" s="29" t="inlineStr">
        <is>
          <t>Not Run</t>
        </is>
      </c>
      <c r="O24" s="3" t="inlineStr"/>
      <c r="P24" s="47" t="inlineStr"/>
      <c r="Q24" s="3" t="inlineStr"/>
      <c r="R24" s="3" t="inlineStr"/>
      <c r="S24" s="3" t="inlineStr">
        <is>
          <t>'As before' reference: EAINT-11763 SRD / test sheet (Q-14).</t>
        </is>
      </c>
    </row>
    <row r="25" ht="18" customHeight="1">
      <c r="A25" s="45" t="inlineStr">
        <is>
          <t>Run CH2  ·  3 directors: 2 Malaysian + 1 foreigner  ·  TIN starts with C  ·  REQ-005 Example 2 (foreign director) — must get the SAME email as CH1.</t>
        </is>
      </c>
      <c r="P25" s="52" t="n"/>
    </row>
    <row r="26" ht="126" customHeight="1">
      <c r="A26" s="29" t="n">
        <v>22</v>
      </c>
      <c r="B26" s="46" t="inlineStr">
        <is>
          <t>CH2-01</t>
        </is>
      </c>
      <c r="C26" s="3" t="inlineStr">
        <is>
          <t>Sdn Bhd / Bhd</t>
        </is>
      </c>
      <c r="D26" s="29" t="inlineStr">
        <is>
          <t>CH2</t>
        </is>
      </c>
      <c r="E26" s="36" t="inlineStr">
        <is>
          <t>Setup &amp; Flow</t>
        </is>
      </c>
      <c r="F26" s="3" t="inlineStr">
        <is>
          <t>eSim set up for CH2 — Sdn Bhd / Bhd, 3 directors: 2 Malaysian + 1 foreigner</t>
        </is>
      </c>
      <c r="G26" s="3" t="inlineStr">
        <is>
          <t>A PASS company from the checker sheet (TIN starts with C) typed in tab '1 Companies'. VPN on.</t>
        </is>
      </c>
      <c r="H26" s="3" t="inlineStr">
        <is>
          <t>1. Log in to eSim: https://172.30.202.114:9089/esim/login.
2. Open tab 'CH2' of EAINT-12341_eSim_Setup.xlsx.
3. Screen 'Ssm Enquiry Resp': type every value of Part A, then Save.
4. Submission screen: type every value of Part B (including the tags and the people), then Save.
5. Screenshot both saved records.</t>
        </is>
      </c>
      <c r="I26" s="3" t="inlineStr">
        <is>
          <t>1. Ssm Enquiry Resp saved with Response Code 004, the ROC without its letter, the 12-digit number, Delay 0.
2. Submission record saved with Response Code 005, status ACTIVE/EXISTING and exactly 3 directors.
3. No error message on save.</t>
        </is>
      </c>
      <c r="J26" s="3" t="inlineStr">
        <is>
          <t>Test data (eSimulator guide)</t>
        </is>
      </c>
      <c r="K26" s="29" t="inlineStr">
        <is>
          <t>High</t>
        </is>
      </c>
      <c r="L26" s="3" t="inlineStr">
        <is>
          <t>Setup</t>
        </is>
      </c>
      <c r="M26" s="3" t="inlineStr"/>
      <c r="N26" s="29" t="inlineStr">
        <is>
          <t>Not Run</t>
        </is>
      </c>
      <c r="O26" s="3" t="inlineStr"/>
      <c r="P26" s="47" t="inlineStr"/>
      <c r="Q26" s="3" t="inlineStr"/>
      <c r="R26" s="3" t="inlineStr"/>
      <c r="S26" s="3" t="inlineStr"/>
    </row>
    <row r="27" ht="126" customHeight="1">
      <c r="A27" s="29" t="n">
        <v>23</v>
      </c>
      <c r="B27" s="46" t="inlineStr">
        <is>
          <t>CH2-02</t>
        </is>
      </c>
      <c r="C27" s="3" t="inlineStr">
        <is>
          <t>Sdn Bhd / Bhd</t>
        </is>
      </c>
      <c r="D27" s="29" t="inlineStr">
        <is>
          <t>CH2</t>
        </is>
      </c>
      <c r="E27" s="36" t="inlineStr">
        <is>
          <t>Setup &amp; Flow</t>
        </is>
      </c>
      <c r="F27" s="3" t="inlineStr">
        <is>
          <t>Robot runs CH2 to Application Approved</t>
        </is>
      </c>
      <c r="G27" s="3" t="inlineStr">
        <is>
          <t>CH2-01 passed. VPN on. Settings file filled. Mailtrap open.</t>
        </is>
      </c>
      <c r="H27" s="3" t="inlineStr">
        <is>
          <t>1. In the automation folder run: npm run ch2.
2. Tick 'I'm not a robot' when the window asks.
3. Pay in the payment window when the window asks.
4. Do not click anything else; wait for the end of the run.
5. Copy the black-window text and keep it with the evidence.</t>
        </is>
      </c>
      <c r="I27" s="3" t="inlineStr">
        <is>
          <t>1. The Pre-Application is created, paid and approved (Pre-Application No P……/….. printed).
2. The Application is submitted and approved by the Approver (Application No NA…….. printed).
3. The window shows 'READY FOR MANUAL EMAIL CHECK' — stopped at Application Approved.
4. An expected-email file is created in 04-runs/.</t>
        </is>
      </c>
      <c r="J27" s="3" t="inlineStr">
        <is>
          <t>REQ-001 (trigger)</t>
        </is>
      </c>
      <c r="K27" s="29" t="inlineStr">
        <is>
          <t>High</t>
        </is>
      </c>
      <c r="L27" s="3" t="inlineStr">
        <is>
          <t>E2E flow (automation)</t>
        </is>
      </c>
      <c r="M27" s="3" t="inlineStr"/>
      <c r="N27" s="29" t="inlineStr">
        <is>
          <t>Not Run</t>
        </is>
      </c>
      <c r="O27" s="3" t="inlineStr"/>
      <c r="P27" s="47" t="inlineStr"/>
      <c r="Q27" s="3" t="inlineStr"/>
      <c r="R27" s="3" t="inlineStr"/>
      <c r="S27" s="3" t="inlineStr"/>
    </row>
    <row r="28" ht="112" customHeight="1">
      <c r="A28" s="29" t="n">
        <v>24</v>
      </c>
      <c r="B28" s="46" t="inlineStr">
        <is>
          <t>CH2-03</t>
        </is>
      </c>
      <c r="C28" s="3" t="inlineStr">
        <is>
          <t>Sdn Bhd / Bhd</t>
        </is>
      </c>
      <c r="D28" s="29" t="inlineStr">
        <is>
          <t>CH2</t>
        </is>
      </c>
      <c r="E28" s="36" t="inlineStr">
        <is>
          <t>Setup &amp; Flow</t>
        </is>
      </c>
      <c r="F28" s="3" t="inlineStr">
        <is>
          <t>Pre-Application summary shows the SSM details set up in eSim</t>
        </is>
      </c>
      <c r="G28" s="3" t="inlineStr">
        <is>
          <t>CH2-02 reached at least Pre-Application approved.</t>
        </is>
      </c>
      <c r="H28" s="3" t="inlineStr">
        <is>
          <t>1. BackOffice &gt; Pre-Application listing: search the Pre-Application No.
2. Check the SSM Status column.
3. Open the record and its SSM details.</t>
        </is>
      </c>
      <c r="I28" s="3" t="inlineStr">
        <is>
          <t>1. SSM Status = OK.
2. Registration no. = &lt;ROC no. with letter&gt; (&lt;12-digit no.&gt;) exactly as in tab '1 Companies' (letter not doubled, e.g. no '-U-A').
3. The people listed match the eSim setup (3 directors: 2 Malaysian + 1 foreigner).
4. These are the values the Appointment Letter must use (old / new BRN).</t>
        </is>
      </c>
      <c r="J28" s="3" t="inlineStr">
        <is>
          <t>REQ-007 (letter data source)</t>
        </is>
      </c>
      <c r="K28" s="29" t="inlineStr">
        <is>
          <t>High</t>
        </is>
      </c>
      <c r="L28" s="3" t="inlineStr">
        <is>
          <t>Data</t>
        </is>
      </c>
      <c r="M28" s="3" t="inlineStr"/>
      <c r="N28" s="29" t="inlineStr">
        <is>
          <t>Not Run</t>
        </is>
      </c>
      <c r="O28" s="3" t="inlineStr"/>
      <c r="P28" s="47" t="inlineStr"/>
      <c r="Q28" s="3" t="inlineStr"/>
      <c r="R28" s="3" t="inlineStr"/>
      <c r="S28" s="3" t="inlineStr"/>
    </row>
    <row r="29" ht="84" customHeight="1">
      <c r="A29" s="29" t="n">
        <v>25</v>
      </c>
      <c r="B29" s="46" t="inlineStr">
        <is>
          <t>CH2-04</t>
        </is>
      </c>
      <c r="C29" s="3" t="inlineStr">
        <is>
          <t>Sdn Bhd / Bhd</t>
        </is>
      </c>
      <c r="D29" s="29" t="inlineStr">
        <is>
          <t>CH2</t>
        </is>
      </c>
      <c r="E29" s="48" t="inlineStr">
        <is>
          <t>Negative &amp; Regression</t>
        </is>
      </c>
      <c r="F29" s="3" t="inlineStr">
        <is>
          <t>Pre-Application approval does NOT send the new emails</t>
        </is>
      </c>
      <c r="G29" s="3" t="inlineStr">
        <is>
          <t>CH2-02 reached at least Pre-Application approved.</t>
        </is>
      </c>
      <c r="H29" s="3" t="inlineStr">
        <is>
          <t>1. Take the 'pre-app approved' and 'approved' (or 'submitted') times from the run log.
2. In Mailtrap, list all emails to the run's admin and director email addresses between those two times.</t>
        </is>
      </c>
      <c r="I29" s="3" t="inlineStr">
        <is>
          <t>1. No 'RHB Online / Branch Account Opening' email in that window.
2. No 'Approved eAuto Registration' email in that window.
3. The existing Pre-Application approval email (with the Application link) still arrives as before.</t>
        </is>
      </c>
      <c r="J29" s="3" t="inlineStr">
        <is>
          <t>REQ-001</t>
        </is>
      </c>
      <c r="K29" s="29" t="inlineStr">
        <is>
          <t>Medium</t>
        </is>
      </c>
      <c r="L29" s="3" t="inlineStr">
        <is>
          <t>Negative</t>
        </is>
      </c>
      <c r="M29" s="3" t="inlineStr"/>
      <c r="N29" s="29" t="inlineStr">
        <is>
          <t>Not Run</t>
        </is>
      </c>
      <c r="O29" s="3" t="inlineStr"/>
      <c r="P29" s="47" t="inlineStr"/>
      <c r="Q29" s="3" t="inlineStr"/>
      <c r="R29" s="3" t="inlineStr"/>
      <c r="S29" s="3" t="inlineStr"/>
    </row>
    <row r="30" ht="98" customHeight="1">
      <c r="A30" s="29" t="n">
        <v>26</v>
      </c>
      <c r="B30" s="46" t="inlineStr">
        <is>
          <t>CH2-05</t>
        </is>
      </c>
      <c r="C30" s="3" t="inlineStr">
        <is>
          <t>Sdn Bhd / Bhd</t>
        </is>
      </c>
      <c r="D30" s="29" t="inlineStr">
        <is>
          <t>CH2</t>
        </is>
      </c>
      <c r="E30" s="49" t="inlineStr">
        <is>
          <t>Guideline Email (UCD)</t>
        </is>
      </c>
      <c r="F30" s="3" t="inlineStr">
        <is>
          <t>Guideline email is received by the UCD — To and CC</t>
        </is>
      </c>
      <c r="G30" s="3" t="inlineStr">
        <is>
          <t>CH2-02 passed (Application Approved). Values from the run log (black window) block READY FOR MANUAL EMAIL CHECK and the expected-email file 04-runs/12341_CH2_&lt;run&gt;.md.</t>
        </is>
      </c>
      <c r="H30" s="3" t="inlineStr">
        <is>
          <t>1. In Mailtrap, search the admin email and the director email from the run log.
2. Open the email whose subject starts 'RHB Online / Branch Account Opening'.
3. Open its headers (To, CC) and note the received time.</t>
        </is>
      </c>
      <c r="I30" s="3" t="inlineStr">
        <is>
          <t>1. Exactly one such email for this Application.
2. To = the UCD email recorded in the Application — record WHICH address it is (admin or director, Q-04).
3. CC = apply@eauto.my.
4. Received after the 'approved' time in the run log.</t>
        </is>
      </c>
      <c r="J30" s="3" t="inlineStr">
        <is>
          <t>REQ-001, REQ-002</t>
        </is>
      </c>
      <c r="K30" s="29" t="inlineStr">
        <is>
          <t>High</t>
        </is>
      </c>
      <c r="L30" s="3" t="inlineStr">
        <is>
          <t>Functional</t>
        </is>
      </c>
      <c r="M30" s="3" t="inlineStr"/>
      <c r="N30" s="29" t="inlineStr">
        <is>
          <t>Not Run</t>
        </is>
      </c>
      <c r="O30" s="3" t="inlineStr"/>
      <c r="P30" s="47" t="inlineStr"/>
      <c r="Q30" s="3" t="inlineStr"/>
      <c r="R30" s="3" t="inlineStr"/>
      <c r="S30" s="3" t="inlineStr">
        <is>
          <t>Sender (From) not checked — still pending Operations (Q-12).</t>
        </is>
      </c>
    </row>
    <row r="31" ht="84" customHeight="1">
      <c r="A31" s="29" t="n">
        <v>27</v>
      </c>
      <c r="B31" s="46" t="inlineStr">
        <is>
          <t>CH2-06</t>
        </is>
      </c>
      <c r="C31" s="3" t="inlineStr">
        <is>
          <t>Sdn Bhd / Bhd</t>
        </is>
      </c>
      <c r="D31" s="29" t="inlineStr">
        <is>
          <t>CH2</t>
        </is>
      </c>
      <c r="E31" s="49" t="inlineStr">
        <is>
          <t>Guideline Email (UCD)</t>
        </is>
      </c>
      <c r="F31" s="3" t="inlineStr">
        <is>
          <t>Guideline email subject</t>
        </is>
      </c>
      <c r="G31" s="3" t="inlineStr">
        <is>
          <t>CH2-02 passed (Application Approved). Values from the run log (black window) block READY FOR MANUAL EMAIL CHECK and the expected-email file 04-runs/12341_CH2_&lt;run&gt;.md.</t>
        </is>
      </c>
      <c r="H31" s="3" t="inlineStr">
        <is>
          <t>1. Open the guideline email.
2. Read the subject exactly as shown.</t>
        </is>
      </c>
      <c r="I31" s="3" t="inlineStr">
        <is>
          <t>1. Subject = 'RHB Online / Branch Account Opening - &lt;Application No&gt; - &lt;Company Name&gt;'.
2. &lt;Application No&gt; = the NA number in the run log; &lt;Company Name&gt; = the run's company name.
3. Not the old v1.1 subjects 'RHB Online Account Opening - …' or 'RHB Branch Account Opening - …'.</t>
        </is>
      </c>
      <c r="J31" s="3" t="inlineStr">
        <is>
          <t>REQ-005</t>
        </is>
      </c>
      <c r="K31" s="29" t="inlineStr">
        <is>
          <t>High</t>
        </is>
      </c>
      <c r="L31" s="3" t="inlineStr">
        <is>
          <t>Functional</t>
        </is>
      </c>
      <c r="M31" s="3" t="inlineStr"/>
      <c r="N31" s="29" t="inlineStr">
        <is>
          <t>Not Run</t>
        </is>
      </c>
      <c r="O31" s="3" t="inlineStr"/>
      <c r="P31" s="47" t="inlineStr"/>
      <c r="Q31" s="3" t="inlineStr"/>
      <c r="R31" s="3" t="inlineStr"/>
      <c r="S31" s="3" t="inlineStr"/>
    </row>
    <row r="32" ht="168" customHeight="1">
      <c r="A32" s="29" t="n">
        <v>28</v>
      </c>
      <c r="B32" s="46" t="inlineStr">
        <is>
          <t>CH2-07</t>
        </is>
      </c>
      <c r="C32" s="3" t="inlineStr">
        <is>
          <t>Sdn Bhd / Bhd</t>
        </is>
      </c>
      <c r="D32" s="29" t="inlineStr">
        <is>
          <t>CH2</t>
        </is>
      </c>
      <c r="E32" s="49" t="inlineStr">
        <is>
          <t>Guideline Email (UCD)</t>
        </is>
      </c>
      <c r="F32" s="3" t="inlineStr">
        <is>
          <t>Guideline email body — same combined template (online + branch options)</t>
        </is>
      </c>
      <c r="G32" s="3" t="inlineStr">
        <is>
          <t>CH2-02 passed (Application Approved). Values from the run log (black window) block READY FOR MANUAL EMAIL CHECK and the expected-email file 04-runs/12341_CH2_&lt;run&gt;.md.</t>
        </is>
      </c>
      <c r="H32" s="3" t="inlineStr">
        <is>
          <t>1. Open the email body (HTML view).
2. Compare paragraph by paragraph with sheet 'Expected Templates' → 'Email Template 1 — Body' (or the 04-runs file).
3. Check the Text view too if Mailtrap shows one.</t>
        </is>
      </c>
      <c r="I32" s="3" t="inlineStr">
        <is>
          <t>1. Every paragraph present, in order, same wording.
2. Application No and Company Name show the run's values.
3. Contains 'within three (3) working days', 'Option 1 – Online Account Opening' (with the four (4) users note and seven (7) days) and 'Option 2 – Account Opening at RHB Branch'.
4. Ends with the signature block (Thank you / Best regards / eAuto Sdn Bhd / address / Customer Service / WhatsApp) — Q-01.
5. Does NOT contain 'As your company meets the eligibility requirements…' nor 'Please bring the documents provided by RHB…'.</t>
        </is>
      </c>
      <c r="J32" s="3" t="inlineStr">
        <is>
          <t>REQ-005</t>
        </is>
      </c>
      <c r="K32" s="29" t="inlineStr">
        <is>
          <t>High</t>
        </is>
      </c>
      <c r="L32" s="3" t="inlineStr">
        <is>
          <t>Functional</t>
        </is>
      </c>
      <c r="M32" s="3" t="inlineStr"/>
      <c r="N32" s="29" t="inlineStr">
        <is>
          <t>Not Run</t>
        </is>
      </c>
      <c r="O32" s="3" t="inlineStr"/>
      <c r="P32" s="47" t="inlineStr"/>
      <c r="Q32" s="3" t="inlineStr"/>
      <c r="R32" s="3" t="inlineStr"/>
      <c r="S32" s="3" t="inlineStr">
        <is>
          <t>Same expected text for every business type — REQ-005 Example 1 and Example 2 both send Email Template 1. REQ-005 Example 2 (foreign director) — must get the SAME email as CH1.</t>
        </is>
      </c>
    </row>
    <row r="33" ht="56" customHeight="1">
      <c r="A33" s="29" t="n">
        <v>29</v>
      </c>
      <c r="B33" s="46" t="inlineStr">
        <is>
          <t>CH2-08</t>
        </is>
      </c>
      <c r="C33" s="3" t="inlineStr">
        <is>
          <t>Sdn Bhd / Bhd</t>
        </is>
      </c>
      <c r="D33" s="29" t="inlineStr">
        <is>
          <t>CH2</t>
        </is>
      </c>
      <c r="E33" s="49" t="inlineStr">
        <is>
          <t>Guideline Email (UCD)</t>
        </is>
      </c>
      <c r="F33" s="3" t="inlineStr">
        <is>
          <t>Links in the guideline email</t>
        </is>
      </c>
      <c r="G33" s="3" t="inlineStr">
        <is>
          <t>CH2-02 passed (Application Approved). Values from the run log (black window) block READY FOR MANUAL EMAIL CHECK and the expected-email file 04-runs/12341_CH2_&lt;run&gt;.md.</t>
        </is>
      </c>
      <c r="H33" s="3" t="inlineStr">
        <is>
          <t>1. Hover over the link under 'Option 1 – Online Account Opening' and note the target.
2. Hover over the Application Link near the end.</t>
        </is>
      </c>
      <c r="I33" s="3" t="inlineStr">
        <is>
          <t>1. Option 1 link target = https://smecaonline.rhbgroup.com/sme/online?tag=campaign.
2. The Application Link is a clickable URL, not the text '[Application Link]'.</t>
        </is>
      </c>
      <c r="J33" s="3" t="inlineStr">
        <is>
          <t>REQ-005</t>
        </is>
      </c>
      <c r="K33" s="29" t="inlineStr">
        <is>
          <t>Medium</t>
        </is>
      </c>
      <c r="L33" s="3" t="inlineStr">
        <is>
          <t>Functional</t>
        </is>
      </c>
      <c r="M33" s="3" t="inlineStr"/>
      <c r="N33" s="29" t="inlineStr">
        <is>
          <t>Not Run</t>
        </is>
      </c>
      <c r="O33" s="3" t="inlineStr"/>
      <c r="P33" s="47" t="inlineStr"/>
      <c r="Q33" s="3" t="inlineStr"/>
      <c r="R33" s="3" t="inlineStr"/>
      <c r="S33" s="3" t="inlineStr">
        <is>
          <t>Where the Application Link must land is not in the SRD (Q-03).</t>
        </is>
      </c>
    </row>
    <row r="34" ht="98" customHeight="1">
      <c r="A34" s="29" t="n">
        <v>30</v>
      </c>
      <c r="B34" s="46" t="inlineStr">
        <is>
          <t>CH2-09</t>
        </is>
      </c>
      <c r="C34" s="3" t="inlineStr">
        <is>
          <t>Sdn Bhd / Bhd</t>
        </is>
      </c>
      <c r="D34" s="29" t="inlineStr">
        <is>
          <t>CH2</t>
        </is>
      </c>
      <c r="E34" s="49" t="inlineStr">
        <is>
          <t>Guideline Email (UCD)</t>
        </is>
      </c>
      <c r="F34" s="3" t="inlineStr">
        <is>
          <t>Appointment Letter attached to the guideline email</t>
        </is>
      </c>
      <c r="G34" s="3" t="inlineStr">
        <is>
          <t>CH2-02 passed (Application Approved). Values from the run log (black window) block READY FOR MANUAL EMAIL CHECK and the expected-email file 04-runs/12341_CH2_&lt;run&gt;.md.</t>
        </is>
      </c>
      <c r="H34" s="3" t="inlineStr">
        <is>
          <t>1. Open the Attachments tab of the guideline email.
2. Note file name, type and size.
3. Download and open it.</t>
        </is>
      </c>
      <c r="I34" s="3" t="inlineStr">
        <is>
          <t>1. Exactly one attachment: the Appointment Letter.
2. It opens without error.
3. It is for THIS Application (company name and Application No match).
4. No Offer Letter, Direct Debit form or Board of Resolution attached.</t>
        </is>
      </c>
      <c r="J34" s="3" t="inlineStr">
        <is>
          <t>REQ-008</t>
        </is>
      </c>
      <c r="K34" s="29" t="inlineStr">
        <is>
          <t>High</t>
        </is>
      </c>
      <c r="L34" s="3" t="inlineStr">
        <is>
          <t>Functional</t>
        </is>
      </c>
      <c r="M34" s="3" t="inlineStr"/>
      <c r="N34" s="29" t="inlineStr">
        <is>
          <t>Not Run</t>
        </is>
      </c>
      <c r="O34" s="3" t="inlineStr"/>
      <c r="P34" s="47" t="inlineStr"/>
      <c r="Q34" s="3" t="inlineStr"/>
      <c r="R34" s="3" t="inlineStr"/>
      <c r="S34" s="3" t="inlineStr">
        <is>
          <t>File type and name not specified (Q-08) — record them.</t>
        </is>
      </c>
    </row>
    <row r="35" ht="56" customHeight="1">
      <c r="A35" s="29" t="n">
        <v>31</v>
      </c>
      <c r="B35" s="46" t="inlineStr">
        <is>
          <t>CH2-10</t>
        </is>
      </c>
      <c r="C35" s="3" t="inlineStr">
        <is>
          <t>Sdn Bhd / Bhd</t>
        </is>
      </c>
      <c r="D35" s="29" t="inlineStr">
        <is>
          <t>CH2</t>
        </is>
      </c>
      <c r="E35" s="49" t="inlineStr">
        <is>
          <t>Guideline Email (UCD)</t>
        </is>
      </c>
      <c r="F35" s="3" t="inlineStr">
        <is>
          <t>Removed templates are not sent</t>
        </is>
      </c>
      <c r="G35" s="3" t="inlineStr">
        <is>
          <t>CH2-02 passed (Application Approved). Values from the run log (black window) block READY FOR MANUAL EMAIL CHECK and the expected-email file 04-runs/12341_CH2_&lt;run&gt;.md.</t>
        </is>
      </c>
      <c r="H35" s="3" t="inlineStr">
        <is>
          <t>1. In Mailtrap, list every email to the run's addresses after the 'approved' time.</t>
        </is>
      </c>
      <c r="I35" s="3" t="inlineStr">
        <is>
          <t>1. No email with subject 'RHB Branch Account Opening - …' (old Email Template 2).
2. No email with subject 'RHB Online Account Opening - …' without '/ Branch' (old Email Template 1).</t>
        </is>
      </c>
      <c r="J35" s="3" t="inlineStr">
        <is>
          <t>REQ-003 / REQ-004 removed, REQ-005</t>
        </is>
      </c>
      <c r="K35" s="29" t="inlineStr">
        <is>
          <t>Medium</t>
        </is>
      </c>
      <c r="L35" s="3" t="inlineStr">
        <is>
          <t>Negative</t>
        </is>
      </c>
      <c r="M35" s="3" t="inlineStr"/>
      <c r="N35" s="29" t="inlineStr">
        <is>
          <t>Not Run</t>
        </is>
      </c>
      <c r="O35" s="3" t="inlineStr"/>
      <c r="P35" s="47" t="inlineStr"/>
      <c r="Q35" s="3" t="inlineStr"/>
      <c r="R35" s="3" t="inlineStr"/>
      <c r="S35" s="3" t="inlineStr"/>
    </row>
    <row r="36" ht="98" customHeight="1">
      <c r="A36" s="29" t="n">
        <v>32</v>
      </c>
      <c r="B36" s="46" t="inlineStr">
        <is>
          <t>CH2-11</t>
        </is>
      </c>
      <c r="C36" s="3" t="inlineStr">
        <is>
          <t>Sdn Bhd / Bhd</t>
        </is>
      </c>
      <c r="D36" s="29" t="inlineStr">
        <is>
          <t>CH2</t>
        </is>
      </c>
      <c r="E36" s="50" t="inlineStr">
        <is>
          <t>RHB Support Email</t>
        </is>
      </c>
      <c r="F36" s="3" t="inlineStr">
        <is>
          <t>RHB Support email — To and CC</t>
        </is>
      </c>
      <c r="G36" s="3" t="inlineStr">
        <is>
          <t>CH2-02 passed (Application Approved). Values from the run log (black window) block READY FOR MANUAL EMAIL CHECK and the expected-email file 04-runs/12341_CH2_&lt;run&gt;.md.</t>
        </is>
      </c>
      <c r="H36" s="3" t="inlineStr">
        <is>
          <t>1. In Mailtrap, search the run's admin / director email (it is in CC of this email).
2. Open the email whose subject starts 'Approved eAuto Registration'.
3. Open its headers.</t>
        </is>
      </c>
      <c r="I36" s="3" t="inlineStr">
        <is>
          <t>1. To = BIS.Support@rhbgroup.com.
2. CC contains the UCD email recorded in the Application AND apply@eauto.my.
3. Received after the 'approved' time.
4. The email is in Mailtrap only — nothing reached RHB (Q-17).</t>
        </is>
      </c>
      <c r="J36" s="3" t="inlineStr">
        <is>
          <t>REQ-006</t>
        </is>
      </c>
      <c r="K36" s="29" t="inlineStr">
        <is>
          <t>High</t>
        </is>
      </c>
      <c r="L36" s="3" t="inlineStr">
        <is>
          <t>Functional</t>
        </is>
      </c>
      <c r="M36" s="3" t="inlineStr"/>
      <c r="N36" s="29" t="inlineStr">
        <is>
          <t>Not Run</t>
        </is>
      </c>
      <c r="O36" s="3" t="inlineStr"/>
      <c r="P36" s="47" t="inlineStr"/>
      <c r="Q36" s="3" t="inlineStr"/>
      <c r="R36" s="3" t="inlineStr"/>
      <c r="S36" s="3" t="inlineStr"/>
    </row>
    <row r="37" ht="84" customHeight="1">
      <c r="A37" s="29" t="n">
        <v>33</v>
      </c>
      <c r="B37" s="46" t="inlineStr">
        <is>
          <t>CH2-12</t>
        </is>
      </c>
      <c r="C37" s="3" t="inlineStr">
        <is>
          <t>Sdn Bhd / Bhd</t>
        </is>
      </c>
      <c r="D37" s="29" t="inlineStr">
        <is>
          <t>CH2</t>
        </is>
      </c>
      <c r="E37" s="50" t="inlineStr">
        <is>
          <t>RHB Support Email</t>
        </is>
      </c>
      <c r="F37" s="3" t="inlineStr">
        <is>
          <t>RHB Support email subject</t>
        </is>
      </c>
      <c r="G37" s="3" t="inlineStr">
        <is>
          <t>CH2-02 passed (Application Approved). Values from the run log (black window) block READY FOR MANUAL EMAIL CHECK and the expected-email file 04-runs/12341_CH2_&lt;run&gt;.md.</t>
        </is>
      </c>
      <c r="H37" s="3" t="inlineStr">
        <is>
          <t>1. Open the RHB Support email.
2. Read the subject.</t>
        </is>
      </c>
      <c r="I37" s="3" t="inlineStr">
        <is>
          <t>1. Subject = 'Approved eAuto Registration - &lt;Company Name&gt; - &lt;BRN Number&gt;'.
2. &lt;Company Name&gt; = the run's company name.
3. &lt;BRN Number&gt; = the number agreed in Q-05 (SRD example shows the 12-digit new number) — record which one.</t>
        </is>
      </c>
      <c r="J37" s="3" t="inlineStr">
        <is>
          <t>REQ-009</t>
        </is>
      </c>
      <c r="K37" s="29" t="inlineStr">
        <is>
          <t>High</t>
        </is>
      </c>
      <c r="L37" s="3" t="inlineStr">
        <is>
          <t>Functional</t>
        </is>
      </c>
      <c r="M37" s="3" t="inlineStr"/>
      <c r="N37" s="29" t="inlineStr">
        <is>
          <t>Not Run</t>
        </is>
      </c>
      <c r="O37" s="3" t="inlineStr"/>
      <c r="P37" s="47" t="inlineStr"/>
      <c r="Q37" s="3" t="inlineStr"/>
      <c r="R37" s="3" t="inlineStr"/>
      <c r="S37" s="3" t="inlineStr"/>
    </row>
    <row r="38" ht="112" customHeight="1">
      <c r="A38" s="29" t="n">
        <v>34</v>
      </c>
      <c r="B38" s="46" t="inlineStr">
        <is>
          <t>CH2-13</t>
        </is>
      </c>
      <c r="C38" s="3" t="inlineStr">
        <is>
          <t>Sdn Bhd / Bhd</t>
        </is>
      </c>
      <c r="D38" s="29" t="inlineStr">
        <is>
          <t>CH2</t>
        </is>
      </c>
      <c r="E38" s="50" t="inlineStr">
        <is>
          <t>RHB Support Email</t>
        </is>
      </c>
      <c r="F38" s="3" t="inlineStr">
        <is>
          <t>RHB Support email body — values and wording</t>
        </is>
      </c>
      <c r="G38" s="3" t="inlineStr">
        <is>
          <t>CH2-02 passed (Application Approved). Values from the run log (black window) block READY FOR MANUAL EMAIL CHECK and the expected-email file 04-runs/12341_CH2_&lt;run&gt;.md.</t>
        </is>
      </c>
      <c r="H38" s="3" t="inlineStr">
        <is>
          <t>1. Open the body.
2. Compare with sheet 'Expected Templates' → 'Email Template 3 — Body'.
3. Compare each value line with the Application.</t>
        </is>
      </c>
      <c r="I38" s="3" t="inlineStr">
        <is>
          <t>1. Every paragraph present, in order, same wording (1 working day request, Reply All instruction, signature block).
2. Company Name / Business Registration Number / UCD Contact Person / Contact Number / Email Address show the Application's values (which contact: Q-04).
3. Does NOT contain 'The above company is not eligible for RHB's online account-opening process…'.</t>
        </is>
      </c>
      <c r="J38" s="3" t="inlineStr">
        <is>
          <t>REQ-009</t>
        </is>
      </c>
      <c r="K38" s="29" t="inlineStr">
        <is>
          <t>High</t>
        </is>
      </c>
      <c r="L38" s="3" t="inlineStr">
        <is>
          <t>Functional</t>
        </is>
      </c>
      <c r="M38" s="3" t="inlineStr"/>
      <c r="N38" s="29" t="inlineStr">
        <is>
          <t>Not Run</t>
        </is>
      </c>
      <c r="O38" s="3" t="inlineStr"/>
      <c r="P38" s="47" t="inlineStr"/>
      <c r="Q38" s="3" t="inlineStr"/>
      <c r="R38" s="3" t="inlineStr"/>
      <c r="S38" s="3" t="inlineStr">
        <is>
          <t>The robot uses different name / mobile / email for Admin and Director, so this email shows which one the system takes (Q-04).</t>
        </is>
      </c>
    </row>
    <row r="39" ht="48" customHeight="1">
      <c r="A39" s="29" t="n">
        <v>35</v>
      </c>
      <c r="B39" s="46" t="inlineStr">
        <is>
          <t>CH2-14</t>
        </is>
      </c>
      <c r="C39" s="3" t="inlineStr">
        <is>
          <t>Sdn Bhd / Bhd</t>
        </is>
      </c>
      <c r="D39" s="29" t="inlineStr">
        <is>
          <t>CH2</t>
        </is>
      </c>
      <c r="E39" s="50" t="inlineStr">
        <is>
          <t>RHB Support Email</t>
        </is>
      </c>
      <c r="F39" s="3" t="inlineStr">
        <is>
          <t>Appointment Letter attached to the RHB Support email</t>
        </is>
      </c>
      <c r="G39" s="3" t="inlineStr">
        <is>
          <t>CH2-02 passed (Application Approved). Values from the run log (black window) block READY FOR MANUAL EMAIL CHECK and the expected-email file 04-runs/12341_CH2_&lt;run&gt;.md.</t>
        </is>
      </c>
      <c r="H39" s="3" t="inlineStr">
        <is>
          <t>1. Open the Attachments tab.
2. Download and open the attachment.</t>
        </is>
      </c>
      <c r="I39" s="3" t="inlineStr">
        <is>
          <t>1. Exactly one attachment: the Appointment Letter for THIS Application.
2. It opens without error.</t>
        </is>
      </c>
      <c r="J39" s="3" t="inlineStr">
        <is>
          <t>REQ-008</t>
        </is>
      </c>
      <c r="K39" s="29" t="inlineStr">
        <is>
          <t>High</t>
        </is>
      </c>
      <c r="L39" s="3" t="inlineStr">
        <is>
          <t>Functional</t>
        </is>
      </c>
      <c r="M39" s="3" t="inlineStr"/>
      <c r="N39" s="29" t="inlineStr">
        <is>
          <t>Not Run</t>
        </is>
      </c>
      <c r="O39" s="3" t="inlineStr"/>
      <c r="P39" s="47" t="inlineStr"/>
      <c r="Q39" s="3" t="inlineStr"/>
      <c r="R39" s="3" t="inlineStr"/>
      <c r="S39" s="3" t="inlineStr"/>
    </row>
    <row r="40" ht="196" customHeight="1">
      <c r="A40" s="29" t="n">
        <v>36</v>
      </c>
      <c r="B40" s="46" t="inlineStr">
        <is>
          <t>CH2-15</t>
        </is>
      </c>
      <c r="C40" s="3" t="inlineStr">
        <is>
          <t>Sdn Bhd / Bhd</t>
        </is>
      </c>
      <c r="D40" s="29" t="inlineStr">
        <is>
          <t>CH2</t>
        </is>
      </c>
      <c r="E40" s="51" t="inlineStr">
        <is>
          <t>Appointment Letter</t>
        </is>
      </c>
      <c r="F40" s="3" t="inlineStr">
        <is>
          <t>Appointment Letter layout and fixed text</t>
        </is>
      </c>
      <c r="G40" s="3" t="inlineStr">
        <is>
          <t>CH2-02 passed (Application Approved). Values from the run log (black window) block READY FOR MANUAL EMAIL CHECK and the expected-email file 04-runs/12341_CH2_&lt;run&gt;.md.</t>
        </is>
      </c>
      <c r="H40" s="3" t="inlineStr">
        <is>
          <t>1. Open the letter from the guideline email.
2. Compare with sheet 'Expected Templates' → 'Appointment Letter' and with Sample_Appointment_Letter_v2.0.
3. Check header, body, signature and footer on every page.</t>
        </is>
      </c>
      <c r="I40" s="3" t="inlineStr">
        <is>
          <t>1. Title 'LETTER OF CONFIRMATION OF REGISTRATION AS A USED CAR DEALER (UCD) UNDER eAUTO SDN. BHD. PLATFORM' (spacing: Q-10).
2. Letterhead: eAuto logo, 'eAuto Sdn Bhd 200401038456 (676967-T)', address, 'Tel: 03-2779 8893'.
3. Clauses 1–8 numbered, wording as the template; Clause 6 refers to 'Clause 5'.
4. Registration details table (UCD Name / Company Registration No. / UCD / Dealer Reference No.).
5. Signature image, 'CHIA KET MING', 'COO'; footer 'Website: www.eauto.my | Customer Service: 03-2779 8899 | Email: support@eauto.my'.
6. No layout break (cut text, overlap, blank page).</t>
        </is>
      </c>
      <c r="J40" s="3" t="inlineStr">
        <is>
          <t>REQ-007</t>
        </is>
      </c>
      <c r="K40" s="29" t="inlineStr">
        <is>
          <t>Medium</t>
        </is>
      </c>
      <c r="L40" s="3" t="inlineStr">
        <is>
          <t>Functional</t>
        </is>
      </c>
      <c r="M40" s="3" t="inlineStr"/>
      <c r="N40" s="29" t="inlineStr">
        <is>
          <t>Not Run</t>
        </is>
      </c>
      <c r="O40" s="3" t="inlineStr"/>
      <c r="P40" s="47" t="inlineStr"/>
      <c r="Q40" s="3" t="inlineStr"/>
      <c r="R40" s="3" t="inlineStr"/>
      <c r="S40" s="3" t="inlineStr"/>
    </row>
    <row r="41" ht="182" customHeight="1">
      <c r="A41" s="29" t="n">
        <v>37</v>
      </c>
      <c r="B41" s="46" t="inlineStr">
        <is>
          <t>CH2-16</t>
        </is>
      </c>
      <c r="C41" s="3" t="inlineStr">
        <is>
          <t>Sdn Bhd / Bhd</t>
        </is>
      </c>
      <c r="D41" s="29" t="inlineStr">
        <is>
          <t>CH2</t>
        </is>
      </c>
      <c r="E41" s="51" t="inlineStr">
        <is>
          <t>Appointment Letter</t>
        </is>
      </c>
      <c r="F41" s="3" t="inlineStr">
        <is>
          <t>Appointment Letter pre-filled values</t>
        </is>
      </c>
      <c r="G41" s="3" t="inlineStr">
        <is>
          <t>CH2-02 passed (Application Approved). Values from the run log (black window) block READY FOR MANUAL EMAIL CHECK and the expected-email file 04-runs/12341_CH2_&lt;run&gt;.md. SSM details from CH2-03.</t>
        </is>
      </c>
      <c r="H41" s="3" t="inlineStr">
        <is>
          <t>1. Open the letter.
2. Compare each value with its source (run log, Application, Pre-Application SSM details).</t>
        </is>
      </c>
      <c r="I41" s="3" t="inlineStr">
        <is>
          <t>1. Date = Application approval date, DD/MM/YYYY.
2. Our Ref = eAuto/OPS/UCD/&lt;Application No&gt;/&lt;approval year&gt; (square brackets: Q-07).
3. UCD Company Name = the Application's company name (recipient block, Clause 1, Clause 4).
4. Company Registration No. = &lt;ROC no. with letter&gt; (&lt;12-digit no.&gt;), e.g. 1511229-A (202301017307) — identical in recipient block, Clause 1 and Clause 4.
5. Company Address = the Application's company address (which field: Q-06).
6. UCD / Dealer Reference No. = '&lt;Pre-Application No&gt; / &lt;Application No&gt;'.</t>
        </is>
      </c>
      <c r="J41" s="3" t="inlineStr">
        <is>
          <t>REQ-007</t>
        </is>
      </c>
      <c r="K41" s="29" t="inlineStr">
        <is>
          <t>High</t>
        </is>
      </c>
      <c r="L41" s="3" t="inlineStr">
        <is>
          <t>Functional</t>
        </is>
      </c>
      <c r="M41" s="3" t="inlineStr"/>
      <c r="N41" s="29" t="inlineStr">
        <is>
          <t>Not Run</t>
        </is>
      </c>
      <c r="O41" s="3" t="inlineStr"/>
      <c r="P41" s="47" t="inlineStr"/>
      <c r="Q41" s="3" t="inlineStr"/>
      <c r="R41" s="3" t="inlineStr"/>
      <c r="S41" s="3" t="inlineStr"/>
    </row>
    <row r="42" ht="48" customHeight="1">
      <c r="A42" s="29" t="n">
        <v>38</v>
      </c>
      <c r="B42" s="46" t="inlineStr">
        <is>
          <t>CH2-17</t>
        </is>
      </c>
      <c r="C42" s="3" t="inlineStr">
        <is>
          <t>Sdn Bhd / Bhd</t>
        </is>
      </c>
      <c r="D42" s="29" t="inlineStr">
        <is>
          <t>CH2</t>
        </is>
      </c>
      <c r="E42" s="51" t="inlineStr">
        <is>
          <t>Appointment Letter</t>
        </is>
      </c>
      <c r="F42" s="3" t="inlineStr">
        <is>
          <t>Same Appointment Letter on both emails</t>
        </is>
      </c>
      <c r="G42" s="3" t="inlineStr">
        <is>
          <t>CH2-02 passed (Application Approved). Values from the run log (black window) block READY FOR MANUAL EMAIL CHECK and the expected-email file 04-runs/12341_CH2_&lt;run&gt;.md.</t>
        </is>
      </c>
      <c r="H42" s="3" t="inlineStr">
        <is>
          <t>1. Download the attachment of the guideline email and of the RHB Support email.
2. Compare them.</t>
        </is>
      </c>
      <c r="I42" s="3" t="inlineStr">
        <is>
          <t>1. Same file name and size.
2. Same Our Ref, date, company, registration number and reference numbers.</t>
        </is>
      </c>
      <c r="J42" s="3" t="inlineStr">
        <is>
          <t>REQ-008</t>
        </is>
      </c>
      <c r="K42" s="29" t="inlineStr">
        <is>
          <t>Medium</t>
        </is>
      </c>
      <c r="L42" s="3" t="inlineStr">
        <is>
          <t>Functional</t>
        </is>
      </c>
      <c r="M42" s="3" t="inlineStr"/>
      <c r="N42" s="29" t="inlineStr">
        <is>
          <t>Not Run</t>
        </is>
      </c>
      <c r="O42" s="3" t="inlineStr"/>
      <c r="P42" s="47" t="inlineStr"/>
      <c r="Q42" s="3" t="inlineStr"/>
      <c r="R42" s="3" t="inlineStr"/>
      <c r="S42" s="3" t="inlineStr"/>
    </row>
    <row r="43" ht="98" customHeight="1">
      <c r="A43" s="29" t="n">
        <v>39</v>
      </c>
      <c r="B43" s="46" t="inlineStr">
        <is>
          <t>CH2-18</t>
        </is>
      </c>
      <c r="C43" s="3" t="inlineStr">
        <is>
          <t>Sdn Bhd / Bhd</t>
        </is>
      </c>
      <c r="D43" s="29" t="inlineStr">
        <is>
          <t>CH2</t>
        </is>
      </c>
      <c r="E43" s="48" t="inlineStr">
        <is>
          <t>Negative &amp; Regression</t>
        </is>
      </c>
      <c r="F43" s="3" t="inlineStr">
        <is>
          <t>No unresolved placeholders anywhere</t>
        </is>
      </c>
      <c r="G43" s="3" t="inlineStr">
        <is>
          <t>CH2-02 passed (Application Approved). Values from the run log (black window) block READY FOR MANUAL EMAIL CHECK and the expected-email file 04-runs/12341_CH2_&lt;run&gt;.md.</t>
        </is>
      </c>
      <c r="H43" s="3" t="inlineStr">
        <is>
          <t>1. In both emails, search the subject and body for '[' and ']'.
2. In the letter, search for '[' and ']'.</t>
        </is>
      </c>
      <c r="I43" s="3" t="inlineStr">
        <is>
          <t>1. None of these appear literally: [Application No], [Company Name], [BRN Number], [Name], [Contact Number], [UCD Email Address], [RHB Online Registration Link], [Application Link], [DD/MM/YYYY], [YYYY], [UCD Company Name], [Old BRN], [New BRN], [Company Address], [Pre-Application No].
2. No empty value (e.g. 'Company Name: ' with nothing after it).</t>
        </is>
      </c>
      <c r="J43" s="3" t="inlineStr">
        <is>
          <t>REQ-005, REQ-007, REQ-009</t>
        </is>
      </c>
      <c r="K43" s="29" t="inlineStr">
        <is>
          <t>High</t>
        </is>
      </c>
      <c r="L43" s="3" t="inlineStr">
        <is>
          <t>Negative</t>
        </is>
      </c>
      <c r="M43" s="3" t="inlineStr"/>
      <c r="N43" s="29" t="inlineStr">
        <is>
          <t>Not Run</t>
        </is>
      </c>
      <c r="O43" s="3" t="inlineStr"/>
      <c r="P43" s="47" t="inlineStr"/>
      <c r="Q43" s="3" t="inlineStr"/>
      <c r="R43" s="3" t="inlineStr"/>
      <c r="S43" s="3" t="inlineStr">
        <is>
          <t>Brackets kept around a filled value in the letter are Q-07, not a failure here.</t>
        </is>
      </c>
    </row>
    <row r="44" ht="48" customHeight="1">
      <c r="A44" s="29" t="n">
        <v>40</v>
      </c>
      <c r="B44" s="46" t="inlineStr">
        <is>
          <t>CH2-19</t>
        </is>
      </c>
      <c r="C44" s="3" t="inlineStr">
        <is>
          <t>Sdn Bhd / Bhd</t>
        </is>
      </c>
      <c r="D44" s="29" t="inlineStr">
        <is>
          <t>CH2</t>
        </is>
      </c>
      <c r="E44" s="48" t="inlineStr">
        <is>
          <t>Negative &amp; Regression</t>
        </is>
      </c>
      <c r="F44" s="3" t="inlineStr">
        <is>
          <t>Exactly one of each email per approval (no duplicates)</t>
        </is>
      </c>
      <c r="G44" s="3" t="inlineStr">
        <is>
          <t>CH2-02 passed (Application Approved). Values from the run log (black window) block READY FOR MANUAL EMAIL CHECK and the expected-email file 04-runs/12341_CH2_&lt;run&gt;.md.</t>
        </is>
      </c>
      <c r="H44" s="3" t="inlineStr">
        <is>
          <t>1. Wait 10 minutes after the 'approved' time (Q-16).
2. In Mailtrap, count the emails for this Application by subject.</t>
        </is>
      </c>
      <c r="I44" s="3" t="inlineStr">
        <is>
          <t>1. Exactly 1 × 'RHB Online / Branch Account Opening - …'.
2. Exactly 1 × 'Approved eAuto Registration - …'.</t>
        </is>
      </c>
      <c r="J44" s="3" t="inlineStr">
        <is>
          <t>REQ-001</t>
        </is>
      </c>
      <c r="K44" s="29" t="inlineStr">
        <is>
          <t>Medium</t>
        </is>
      </c>
      <c r="L44" s="3" t="inlineStr">
        <is>
          <t>Negative</t>
        </is>
      </c>
      <c r="M44" s="3" t="inlineStr"/>
      <c r="N44" s="29" t="inlineStr">
        <is>
          <t>Not Run</t>
        </is>
      </c>
      <c r="O44" s="3" t="inlineStr"/>
      <c r="P44" s="47" t="inlineStr"/>
      <c r="Q44" s="3" t="inlineStr"/>
      <c r="R44" s="3" t="inlineStr"/>
      <c r="S44" s="3" t="inlineStr"/>
    </row>
    <row r="45" ht="22" customHeight="1">
      <c r="A45" s="53" t="inlineStr">
        <is>
          <t>SOLE PROPRIETORSHIP / PARTNERSHIP   —   3 run(s)</t>
        </is>
      </c>
      <c r="P45" s="52" t="n"/>
    </row>
    <row r="46" ht="18" customHeight="1">
      <c r="A46" s="54" t="inlineStr">
        <is>
          <t>Run CH3  ·  4 business owners, all Malaysian  ·  TIN starts with D  ·  Sole Proprietorship / Partnership normal case (REQ-005 Example 1).</t>
        </is>
      </c>
      <c r="P46" s="52" t="n"/>
    </row>
    <row r="47" ht="126" customHeight="1">
      <c r="A47" s="29" t="n">
        <v>41</v>
      </c>
      <c r="B47" s="46" t="inlineStr">
        <is>
          <t>CH3-01</t>
        </is>
      </c>
      <c r="C47" s="3" t="inlineStr">
        <is>
          <t>Sole Proprietorship / Partnership</t>
        </is>
      </c>
      <c r="D47" s="29" t="inlineStr">
        <is>
          <t>CH3</t>
        </is>
      </c>
      <c r="E47" s="36" t="inlineStr">
        <is>
          <t>Setup &amp; Flow</t>
        </is>
      </c>
      <c r="F47" s="3" t="inlineStr">
        <is>
          <t>eSim set up for CH3 — Sole Proprietorship / Partnership, 4 business owners, all Malaysian</t>
        </is>
      </c>
      <c r="G47" s="3" t="inlineStr">
        <is>
          <t>A PASS company from the checker sheet (TIN starts with D) typed in tab '1 Companies'. VPN on.</t>
        </is>
      </c>
      <c r="H47" s="3" t="inlineStr">
        <is>
          <t>1. Log in to eSim: https://172.30.202.114:9089/esim/login.
2. Open tab 'CH3' of EAINT-12341_eSim_Setup.xlsx.
3. Screen 'Ssm Enquiry Resp': type every value of Part A, then Save.
4. Submission screen: type every value of Part B (including the tags and the people), then Save.
5. Screenshot both saved records.</t>
        </is>
      </c>
      <c r="I47" s="3" t="inlineStr">
        <is>
          <t>1. Ssm Enquiry Resp saved with Response Code 004, the ROC without its letter, the 12-digit number, Delay 0.
2. Submission record saved with Response Code 005, status ACTIVE/EXISTING and exactly 4 business owners.
3. No error message on save.</t>
        </is>
      </c>
      <c r="J47" s="3" t="inlineStr">
        <is>
          <t>Test data (eSimulator guide)</t>
        </is>
      </c>
      <c r="K47" s="29" t="inlineStr">
        <is>
          <t>High</t>
        </is>
      </c>
      <c r="L47" s="3" t="inlineStr">
        <is>
          <t>Setup</t>
        </is>
      </c>
      <c r="M47" s="3" t="inlineStr"/>
      <c r="N47" s="29" t="inlineStr">
        <is>
          <t>Not Run</t>
        </is>
      </c>
      <c r="O47" s="3" t="inlineStr"/>
      <c r="P47" s="47" t="inlineStr"/>
      <c r="Q47" s="3" t="inlineStr"/>
      <c r="R47" s="3" t="inlineStr"/>
      <c r="S47" s="3" t="inlineStr"/>
    </row>
    <row r="48" ht="126" customHeight="1">
      <c r="A48" s="29" t="n">
        <v>42</v>
      </c>
      <c r="B48" s="46" t="inlineStr">
        <is>
          <t>CH3-02</t>
        </is>
      </c>
      <c r="C48" s="3" t="inlineStr">
        <is>
          <t>Sole Proprietorship / Partnership</t>
        </is>
      </c>
      <c r="D48" s="29" t="inlineStr">
        <is>
          <t>CH3</t>
        </is>
      </c>
      <c r="E48" s="36" t="inlineStr">
        <is>
          <t>Setup &amp; Flow</t>
        </is>
      </c>
      <c r="F48" s="3" t="inlineStr">
        <is>
          <t>Robot runs CH3 to Application Approved</t>
        </is>
      </c>
      <c r="G48" s="3" t="inlineStr">
        <is>
          <t>CH3-01 passed. VPN on. Settings file filled. Mailtrap open.</t>
        </is>
      </c>
      <c r="H48" s="3" t="inlineStr">
        <is>
          <t>1. In the automation folder run: npm run ch3.
2. Tick 'I'm not a robot' when the window asks.
3. Pay in the payment window when the window asks.
4. Do not click anything else; wait for the end of the run.
5. Copy the black-window text and keep it with the evidence.</t>
        </is>
      </c>
      <c r="I48" s="3" t="inlineStr">
        <is>
          <t>1. The Pre-Application is created, paid and approved (Pre-Application No P……/….. printed).
2. The Application is submitted and approved by the Approver (Application No NA…….. printed).
3. The window shows 'READY FOR MANUAL EMAIL CHECK' — stopped at Application Approved.
4. An expected-email file is created in 04-runs/.</t>
        </is>
      </c>
      <c r="J48" s="3" t="inlineStr">
        <is>
          <t>REQ-001 (trigger)</t>
        </is>
      </c>
      <c r="K48" s="29" t="inlineStr">
        <is>
          <t>High</t>
        </is>
      </c>
      <c r="L48" s="3" t="inlineStr">
        <is>
          <t>E2E flow (automation)</t>
        </is>
      </c>
      <c r="M48" s="3" t="inlineStr"/>
      <c r="N48" s="29" t="inlineStr">
        <is>
          <t>Not Run</t>
        </is>
      </c>
      <c r="O48" s="3" t="inlineStr"/>
      <c r="P48" s="47" t="inlineStr"/>
      <c r="Q48" s="3" t="inlineStr"/>
      <c r="R48" s="3" t="inlineStr"/>
      <c r="S48" s="3" t="inlineStr"/>
    </row>
    <row r="49" ht="112" customHeight="1">
      <c r="A49" s="29" t="n">
        <v>43</v>
      </c>
      <c r="B49" s="46" t="inlineStr">
        <is>
          <t>CH3-03</t>
        </is>
      </c>
      <c r="C49" s="3" t="inlineStr">
        <is>
          <t>Sole Proprietorship / Partnership</t>
        </is>
      </c>
      <c r="D49" s="29" t="inlineStr">
        <is>
          <t>CH3</t>
        </is>
      </c>
      <c r="E49" s="36" t="inlineStr">
        <is>
          <t>Setup &amp; Flow</t>
        </is>
      </c>
      <c r="F49" s="3" t="inlineStr">
        <is>
          <t>Pre-Application summary shows the SSM details set up in eSim</t>
        </is>
      </c>
      <c r="G49" s="3" t="inlineStr">
        <is>
          <t>CH3-02 reached at least Pre-Application approved.</t>
        </is>
      </c>
      <c r="H49" s="3" t="inlineStr">
        <is>
          <t>1. BackOffice &gt; Pre-Application listing: search the Pre-Application No.
2. Check the SSM Status column.
3. Open the record and its SSM details.</t>
        </is>
      </c>
      <c r="I49" s="3" t="inlineStr">
        <is>
          <t>1. SSM Status = OK.
2. Registration no. = &lt;ROB no. with letter&gt; (&lt;12-digit no.&gt;) exactly as in tab '1 Companies' (letter not doubled, e.g. no '-U-A').
3. The people listed match the eSim setup (4 business owners, all Malaysian).
4. These are the values the Appointment Letter must use (old / new BRN).</t>
        </is>
      </c>
      <c r="J49" s="3" t="inlineStr">
        <is>
          <t>REQ-007 (letter data source)</t>
        </is>
      </c>
      <c r="K49" s="29" t="inlineStr">
        <is>
          <t>High</t>
        </is>
      </c>
      <c r="L49" s="3" t="inlineStr">
        <is>
          <t>Data</t>
        </is>
      </c>
      <c r="M49" s="3" t="inlineStr"/>
      <c r="N49" s="29" t="inlineStr">
        <is>
          <t>Not Run</t>
        </is>
      </c>
      <c r="O49" s="3" t="inlineStr"/>
      <c r="P49" s="47" t="inlineStr"/>
      <c r="Q49" s="3" t="inlineStr"/>
      <c r="R49" s="3" t="inlineStr"/>
      <c r="S49" s="3" t="inlineStr"/>
    </row>
    <row r="50" ht="84" customHeight="1">
      <c r="A50" s="29" t="n">
        <v>44</v>
      </c>
      <c r="B50" s="46" t="inlineStr">
        <is>
          <t>CH3-04</t>
        </is>
      </c>
      <c r="C50" s="3" t="inlineStr">
        <is>
          <t>Sole Proprietorship / Partnership</t>
        </is>
      </c>
      <c r="D50" s="29" t="inlineStr">
        <is>
          <t>CH3</t>
        </is>
      </c>
      <c r="E50" s="48" t="inlineStr">
        <is>
          <t>Negative &amp; Regression</t>
        </is>
      </c>
      <c r="F50" s="3" t="inlineStr">
        <is>
          <t>Pre-Application approval does NOT send the new emails</t>
        </is>
      </c>
      <c r="G50" s="3" t="inlineStr">
        <is>
          <t>CH3-02 reached at least Pre-Application approved.</t>
        </is>
      </c>
      <c r="H50" s="3" t="inlineStr">
        <is>
          <t>1. Take the 'pre-app approved' and 'approved' (or 'submitted') times from the run log.
2. In Mailtrap, list all emails to the run's admin and director email addresses between those two times.</t>
        </is>
      </c>
      <c r="I50" s="3" t="inlineStr">
        <is>
          <t>1. No 'RHB Online / Branch Account Opening' email in that window.
2. No 'Approved eAuto Registration' email in that window.
3. The existing Pre-Application approval email (with the Application link) still arrives as before.</t>
        </is>
      </c>
      <c r="J50" s="3" t="inlineStr">
        <is>
          <t>REQ-001</t>
        </is>
      </c>
      <c r="K50" s="29" t="inlineStr">
        <is>
          <t>Medium</t>
        </is>
      </c>
      <c r="L50" s="3" t="inlineStr">
        <is>
          <t>Negative</t>
        </is>
      </c>
      <c r="M50" s="3" t="inlineStr"/>
      <c r="N50" s="29" t="inlineStr">
        <is>
          <t>Not Run</t>
        </is>
      </c>
      <c r="O50" s="3" t="inlineStr"/>
      <c r="P50" s="47" t="inlineStr"/>
      <c r="Q50" s="3" t="inlineStr"/>
      <c r="R50" s="3" t="inlineStr"/>
      <c r="S50" s="3" t="inlineStr"/>
    </row>
    <row r="51" ht="98" customHeight="1">
      <c r="A51" s="29" t="n">
        <v>45</v>
      </c>
      <c r="B51" s="46" t="inlineStr">
        <is>
          <t>CH3-05</t>
        </is>
      </c>
      <c r="C51" s="3" t="inlineStr">
        <is>
          <t>Sole Proprietorship / Partnership</t>
        </is>
      </c>
      <c r="D51" s="29" t="inlineStr">
        <is>
          <t>CH3</t>
        </is>
      </c>
      <c r="E51" s="49" t="inlineStr">
        <is>
          <t>Guideline Email (UCD)</t>
        </is>
      </c>
      <c r="F51" s="3" t="inlineStr">
        <is>
          <t>Guideline email is received by the UCD — To and CC</t>
        </is>
      </c>
      <c r="G51" s="3" t="inlineStr">
        <is>
          <t>CH3-02 passed (Application Approved). Values from the run log (black window) block READY FOR MANUAL EMAIL CHECK and the expected-email file 04-runs/12341_CH3_&lt;run&gt;.md.</t>
        </is>
      </c>
      <c r="H51" s="3" t="inlineStr">
        <is>
          <t>1. In Mailtrap, search the admin email and the director email from the run log.
2. Open the email whose subject starts 'RHB Online / Branch Account Opening'.
3. Open its headers (To, CC) and note the received time.</t>
        </is>
      </c>
      <c r="I51" s="3" t="inlineStr">
        <is>
          <t>1. Exactly one such email for this Application.
2. To = the UCD email recorded in the Application — record WHICH address it is (admin or director, Q-04).
3. CC = apply@eauto.my.
4. Received after the 'approved' time in the run log.</t>
        </is>
      </c>
      <c r="J51" s="3" t="inlineStr">
        <is>
          <t>REQ-001, REQ-002</t>
        </is>
      </c>
      <c r="K51" s="29" t="inlineStr">
        <is>
          <t>High</t>
        </is>
      </c>
      <c r="L51" s="3" t="inlineStr">
        <is>
          <t>Functional</t>
        </is>
      </c>
      <c r="M51" s="3" t="inlineStr"/>
      <c r="N51" s="29" t="inlineStr">
        <is>
          <t>Not Run</t>
        </is>
      </c>
      <c r="O51" s="3" t="inlineStr"/>
      <c r="P51" s="47" t="inlineStr"/>
      <c r="Q51" s="3" t="inlineStr"/>
      <c r="R51" s="3" t="inlineStr"/>
      <c r="S51" s="3" t="inlineStr">
        <is>
          <t>Sender (From) not checked — still pending Operations (Q-12).</t>
        </is>
      </c>
    </row>
    <row r="52" ht="84" customHeight="1">
      <c r="A52" s="29" t="n">
        <v>46</v>
      </c>
      <c r="B52" s="46" t="inlineStr">
        <is>
          <t>CH3-06</t>
        </is>
      </c>
      <c r="C52" s="3" t="inlineStr">
        <is>
          <t>Sole Proprietorship / Partnership</t>
        </is>
      </c>
      <c r="D52" s="29" t="inlineStr">
        <is>
          <t>CH3</t>
        </is>
      </c>
      <c r="E52" s="49" t="inlineStr">
        <is>
          <t>Guideline Email (UCD)</t>
        </is>
      </c>
      <c r="F52" s="3" t="inlineStr">
        <is>
          <t>Guideline email subject</t>
        </is>
      </c>
      <c r="G52" s="3" t="inlineStr">
        <is>
          <t>CH3-02 passed (Application Approved). Values from the run log (black window) block READY FOR MANUAL EMAIL CHECK and the expected-email file 04-runs/12341_CH3_&lt;run&gt;.md.</t>
        </is>
      </c>
      <c r="H52" s="3" t="inlineStr">
        <is>
          <t>1. Open the guideline email.
2. Read the subject exactly as shown.</t>
        </is>
      </c>
      <c r="I52" s="3" t="inlineStr">
        <is>
          <t>1. Subject = 'RHB Online / Branch Account Opening - &lt;Application No&gt; - &lt;Company Name&gt;'.
2. &lt;Application No&gt; = the NA number in the run log; &lt;Company Name&gt; = the run's company name.
3. Not the old v1.1 subjects 'RHB Online Account Opening - …' or 'RHB Branch Account Opening - …'.</t>
        </is>
      </c>
      <c r="J52" s="3" t="inlineStr">
        <is>
          <t>REQ-005</t>
        </is>
      </c>
      <c r="K52" s="29" t="inlineStr">
        <is>
          <t>High</t>
        </is>
      </c>
      <c r="L52" s="3" t="inlineStr">
        <is>
          <t>Functional</t>
        </is>
      </c>
      <c r="M52" s="3" t="inlineStr"/>
      <c r="N52" s="29" t="inlineStr">
        <is>
          <t>Not Run</t>
        </is>
      </c>
      <c r="O52" s="3" t="inlineStr"/>
      <c r="P52" s="47" t="inlineStr"/>
      <c r="Q52" s="3" t="inlineStr"/>
      <c r="R52" s="3" t="inlineStr"/>
      <c r="S52" s="3" t="inlineStr"/>
    </row>
    <row r="53" ht="168" customHeight="1">
      <c r="A53" s="29" t="n">
        <v>47</v>
      </c>
      <c r="B53" s="46" t="inlineStr">
        <is>
          <t>CH3-07</t>
        </is>
      </c>
      <c r="C53" s="3" t="inlineStr">
        <is>
          <t>Sole Proprietorship / Partnership</t>
        </is>
      </c>
      <c r="D53" s="29" t="inlineStr">
        <is>
          <t>CH3</t>
        </is>
      </c>
      <c r="E53" s="49" t="inlineStr">
        <is>
          <t>Guideline Email (UCD)</t>
        </is>
      </c>
      <c r="F53" s="3" t="inlineStr">
        <is>
          <t>Guideline email body — same combined template (online + branch options)</t>
        </is>
      </c>
      <c r="G53" s="3" t="inlineStr">
        <is>
          <t>CH3-02 passed (Application Approved). Values from the run log (black window) block READY FOR MANUAL EMAIL CHECK and the expected-email file 04-runs/12341_CH3_&lt;run&gt;.md.</t>
        </is>
      </c>
      <c r="H53" s="3" t="inlineStr">
        <is>
          <t>1. Open the email body (HTML view).
2. Compare paragraph by paragraph with sheet 'Expected Templates' → 'Email Template 1 — Body' (or the 04-runs file).
3. Check the Text view too if Mailtrap shows one.</t>
        </is>
      </c>
      <c r="I53" s="3" t="inlineStr">
        <is>
          <t>1. Every paragraph present, in order, same wording.
2. Application No and Company Name show the run's values.
3. Contains 'within three (3) working days', 'Option 1 – Online Account Opening' (with the four (4) users note and seven (7) days) and 'Option 2 – Account Opening at RHB Branch'.
4. Ends with the signature block (Thank you / Best regards / eAuto Sdn Bhd / address / Customer Service / WhatsApp) — Q-01.
5. Does NOT contain 'As your company meets the eligibility requirements…' nor 'Please bring the documents provided by RHB…'.</t>
        </is>
      </c>
      <c r="J53" s="3" t="inlineStr">
        <is>
          <t>REQ-005</t>
        </is>
      </c>
      <c r="K53" s="29" t="inlineStr">
        <is>
          <t>High</t>
        </is>
      </c>
      <c r="L53" s="3" t="inlineStr">
        <is>
          <t>Functional</t>
        </is>
      </c>
      <c r="M53" s="3" t="inlineStr"/>
      <c r="N53" s="29" t="inlineStr">
        <is>
          <t>Not Run</t>
        </is>
      </c>
      <c r="O53" s="3" t="inlineStr"/>
      <c r="P53" s="47" t="inlineStr"/>
      <c r="Q53" s="3" t="inlineStr"/>
      <c r="R53" s="3" t="inlineStr"/>
      <c r="S53" s="3" t="inlineStr">
        <is>
          <t>Same expected text for every business type — REQ-005 Example 1 and Example 2 both send Email Template 1. Sole Proprietorship / Partnership normal case (REQ-005 Example 1).</t>
        </is>
      </c>
    </row>
    <row r="54" ht="56" customHeight="1">
      <c r="A54" s="29" t="n">
        <v>48</v>
      </c>
      <c r="B54" s="46" t="inlineStr">
        <is>
          <t>CH3-08</t>
        </is>
      </c>
      <c r="C54" s="3" t="inlineStr">
        <is>
          <t>Sole Proprietorship / Partnership</t>
        </is>
      </c>
      <c r="D54" s="29" t="inlineStr">
        <is>
          <t>CH3</t>
        </is>
      </c>
      <c r="E54" s="49" t="inlineStr">
        <is>
          <t>Guideline Email (UCD)</t>
        </is>
      </c>
      <c r="F54" s="3" t="inlineStr">
        <is>
          <t>Links in the guideline email</t>
        </is>
      </c>
      <c r="G54" s="3" t="inlineStr">
        <is>
          <t>CH3-02 passed (Application Approved). Values from the run log (black window) block READY FOR MANUAL EMAIL CHECK and the expected-email file 04-runs/12341_CH3_&lt;run&gt;.md.</t>
        </is>
      </c>
      <c r="H54" s="3" t="inlineStr">
        <is>
          <t>1. Hover over the link under 'Option 1 – Online Account Opening' and note the target.
2. Hover over the Application Link near the end.</t>
        </is>
      </c>
      <c r="I54" s="3" t="inlineStr">
        <is>
          <t>1. Option 1 link target = https://smecaonline.rhbgroup.com/sme/online?tag=campaign.
2. The Application Link is a clickable URL, not the text '[Application Link]'.</t>
        </is>
      </c>
      <c r="J54" s="3" t="inlineStr">
        <is>
          <t>REQ-005</t>
        </is>
      </c>
      <c r="K54" s="29" t="inlineStr">
        <is>
          <t>Medium</t>
        </is>
      </c>
      <c r="L54" s="3" t="inlineStr">
        <is>
          <t>Functional</t>
        </is>
      </c>
      <c r="M54" s="3" t="inlineStr"/>
      <c r="N54" s="29" t="inlineStr">
        <is>
          <t>Not Run</t>
        </is>
      </c>
      <c r="O54" s="3" t="inlineStr"/>
      <c r="P54" s="47" t="inlineStr"/>
      <c r="Q54" s="3" t="inlineStr"/>
      <c r="R54" s="3" t="inlineStr"/>
      <c r="S54" s="3" t="inlineStr">
        <is>
          <t>Where the Application Link must land is not in the SRD (Q-03).</t>
        </is>
      </c>
    </row>
    <row r="55" ht="98" customHeight="1">
      <c r="A55" s="29" t="n">
        <v>49</v>
      </c>
      <c r="B55" s="46" t="inlineStr">
        <is>
          <t>CH3-09</t>
        </is>
      </c>
      <c r="C55" s="3" t="inlineStr">
        <is>
          <t>Sole Proprietorship / Partnership</t>
        </is>
      </c>
      <c r="D55" s="29" t="inlineStr">
        <is>
          <t>CH3</t>
        </is>
      </c>
      <c r="E55" s="49" t="inlineStr">
        <is>
          <t>Guideline Email (UCD)</t>
        </is>
      </c>
      <c r="F55" s="3" t="inlineStr">
        <is>
          <t>Appointment Letter attached to the guideline email</t>
        </is>
      </c>
      <c r="G55" s="3" t="inlineStr">
        <is>
          <t>CH3-02 passed (Application Approved). Values from the run log (black window) block READY FOR MANUAL EMAIL CHECK and the expected-email file 04-runs/12341_CH3_&lt;run&gt;.md.</t>
        </is>
      </c>
      <c r="H55" s="3" t="inlineStr">
        <is>
          <t>1. Open the Attachments tab of the guideline email.
2. Note file name, type and size.
3. Download and open it.</t>
        </is>
      </c>
      <c r="I55" s="3" t="inlineStr">
        <is>
          <t>1. Exactly one attachment: the Appointment Letter.
2. It opens without error.
3. It is for THIS Application (company name and Application No match).
4. No Offer Letter, Direct Debit form or Board of Resolution attached.</t>
        </is>
      </c>
      <c r="J55" s="3" t="inlineStr">
        <is>
          <t>REQ-008</t>
        </is>
      </c>
      <c r="K55" s="29" t="inlineStr">
        <is>
          <t>High</t>
        </is>
      </c>
      <c r="L55" s="3" t="inlineStr">
        <is>
          <t>Functional</t>
        </is>
      </c>
      <c r="M55" s="3" t="inlineStr"/>
      <c r="N55" s="29" t="inlineStr">
        <is>
          <t>Not Run</t>
        </is>
      </c>
      <c r="O55" s="3" t="inlineStr"/>
      <c r="P55" s="47" t="inlineStr"/>
      <c r="Q55" s="3" t="inlineStr"/>
      <c r="R55" s="3" t="inlineStr"/>
      <c r="S55" s="3" t="inlineStr">
        <is>
          <t>File type and name not specified (Q-08) — record them.</t>
        </is>
      </c>
    </row>
    <row r="56" ht="56" customHeight="1">
      <c r="A56" s="29" t="n">
        <v>50</v>
      </c>
      <c r="B56" s="46" t="inlineStr">
        <is>
          <t>CH3-10</t>
        </is>
      </c>
      <c r="C56" s="3" t="inlineStr">
        <is>
          <t>Sole Proprietorship / Partnership</t>
        </is>
      </c>
      <c r="D56" s="29" t="inlineStr">
        <is>
          <t>CH3</t>
        </is>
      </c>
      <c r="E56" s="49" t="inlineStr">
        <is>
          <t>Guideline Email (UCD)</t>
        </is>
      </c>
      <c r="F56" s="3" t="inlineStr">
        <is>
          <t>Removed templates are not sent</t>
        </is>
      </c>
      <c r="G56" s="3" t="inlineStr">
        <is>
          <t>CH3-02 passed (Application Approved). Values from the run log (black window) block READY FOR MANUAL EMAIL CHECK and the expected-email file 04-runs/12341_CH3_&lt;run&gt;.md.</t>
        </is>
      </c>
      <c r="H56" s="3" t="inlineStr">
        <is>
          <t>1. In Mailtrap, list every email to the run's addresses after the 'approved' time.</t>
        </is>
      </c>
      <c r="I56" s="3" t="inlineStr">
        <is>
          <t>1. No email with subject 'RHB Branch Account Opening - …' (old Email Template 2).
2. No email with subject 'RHB Online Account Opening - …' without '/ Branch' (old Email Template 1).</t>
        </is>
      </c>
      <c r="J56" s="3" t="inlineStr">
        <is>
          <t>REQ-003 / REQ-004 removed, REQ-005</t>
        </is>
      </c>
      <c r="K56" s="29" t="inlineStr">
        <is>
          <t>Medium</t>
        </is>
      </c>
      <c r="L56" s="3" t="inlineStr">
        <is>
          <t>Negative</t>
        </is>
      </c>
      <c r="M56" s="3" t="inlineStr"/>
      <c r="N56" s="29" t="inlineStr">
        <is>
          <t>Not Run</t>
        </is>
      </c>
      <c r="O56" s="3" t="inlineStr"/>
      <c r="P56" s="47" t="inlineStr"/>
      <c r="Q56" s="3" t="inlineStr"/>
      <c r="R56" s="3" t="inlineStr"/>
      <c r="S56" s="3" t="inlineStr"/>
    </row>
    <row r="57" ht="98" customHeight="1">
      <c r="A57" s="29" t="n">
        <v>51</v>
      </c>
      <c r="B57" s="46" t="inlineStr">
        <is>
          <t>CH3-11</t>
        </is>
      </c>
      <c r="C57" s="3" t="inlineStr">
        <is>
          <t>Sole Proprietorship / Partnership</t>
        </is>
      </c>
      <c r="D57" s="29" t="inlineStr">
        <is>
          <t>CH3</t>
        </is>
      </c>
      <c r="E57" s="50" t="inlineStr">
        <is>
          <t>RHB Support Email</t>
        </is>
      </c>
      <c r="F57" s="3" t="inlineStr">
        <is>
          <t>RHB Support email — To and CC</t>
        </is>
      </c>
      <c r="G57" s="3" t="inlineStr">
        <is>
          <t>CH3-02 passed (Application Approved). Values from the run log (black window) block READY FOR MANUAL EMAIL CHECK and the expected-email file 04-runs/12341_CH3_&lt;run&gt;.md.</t>
        </is>
      </c>
      <c r="H57" s="3" t="inlineStr">
        <is>
          <t>1. In Mailtrap, search the run's admin / director email (it is in CC of this email).
2. Open the email whose subject starts 'Approved eAuto Registration'.
3. Open its headers.</t>
        </is>
      </c>
      <c r="I57" s="3" t="inlineStr">
        <is>
          <t>1. To = BIS.Support@rhbgroup.com.
2. CC contains the UCD email recorded in the Application AND apply@eauto.my.
3. Received after the 'approved' time.
4. The email is in Mailtrap only — nothing reached RHB (Q-17).</t>
        </is>
      </c>
      <c r="J57" s="3" t="inlineStr">
        <is>
          <t>REQ-006</t>
        </is>
      </c>
      <c r="K57" s="29" t="inlineStr">
        <is>
          <t>High</t>
        </is>
      </c>
      <c r="L57" s="3" t="inlineStr">
        <is>
          <t>Functional</t>
        </is>
      </c>
      <c r="M57" s="3" t="inlineStr"/>
      <c r="N57" s="29" t="inlineStr">
        <is>
          <t>Not Run</t>
        </is>
      </c>
      <c r="O57" s="3" t="inlineStr"/>
      <c r="P57" s="47" t="inlineStr"/>
      <c r="Q57" s="3" t="inlineStr"/>
      <c r="R57" s="3" t="inlineStr"/>
      <c r="S57" s="3" t="inlineStr"/>
    </row>
    <row r="58" ht="84" customHeight="1">
      <c r="A58" s="29" t="n">
        <v>52</v>
      </c>
      <c r="B58" s="46" t="inlineStr">
        <is>
          <t>CH3-12</t>
        </is>
      </c>
      <c r="C58" s="3" t="inlineStr">
        <is>
          <t>Sole Proprietorship / Partnership</t>
        </is>
      </c>
      <c r="D58" s="29" t="inlineStr">
        <is>
          <t>CH3</t>
        </is>
      </c>
      <c r="E58" s="50" t="inlineStr">
        <is>
          <t>RHB Support Email</t>
        </is>
      </c>
      <c r="F58" s="3" t="inlineStr">
        <is>
          <t>RHB Support email subject</t>
        </is>
      </c>
      <c r="G58" s="3" t="inlineStr">
        <is>
          <t>CH3-02 passed (Application Approved). Values from the run log (black window) block READY FOR MANUAL EMAIL CHECK and the expected-email file 04-runs/12341_CH3_&lt;run&gt;.md.</t>
        </is>
      </c>
      <c r="H58" s="3" t="inlineStr">
        <is>
          <t>1. Open the RHB Support email.
2. Read the subject.</t>
        </is>
      </c>
      <c r="I58" s="3" t="inlineStr">
        <is>
          <t>1. Subject = 'Approved eAuto Registration - &lt;Company Name&gt; - &lt;BRN Number&gt;'.
2. &lt;Company Name&gt; = the run's company name.
3. &lt;BRN Number&gt; = the number agreed in Q-05 (SRD example shows the 12-digit new number) — record which one.</t>
        </is>
      </c>
      <c r="J58" s="3" t="inlineStr">
        <is>
          <t>REQ-009</t>
        </is>
      </c>
      <c r="K58" s="29" t="inlineStr">
        <is>
          <t>High</t>
        </is>
      </c>
      <c r="L58" s="3" t="inlineStr">
        <is>
          <t>Functional</t>
        </is>
      </c>
      <c r="M58" s="3" t="inlineStr"/>
      <c r="N58" s="29" t="inlineStr">
        <is>
          <t>Not Run</t>
        </is>
      </c>
      <c r="O58" s="3" t="inlineStr"/>
      <c r="P58" s="47" t="inlineStr"/>
      <c r="Q58" s="3" t="inlineStr"/>
      <c r="R58" s="3" t="inlineStr"/>
      <c r="S58" s="3" t="inlineStr"/>
    </row>
    <row r="59" ht="112" customHeight="1">
      <c r="A59" s="29" t="n">
        <v>53</v>
      </c>
      <c r="B59" s="46" t="inlineStr">
        <is>
          <t>CH3-13</t>
        </is>
      </c>
      <c r="C59" s="3" t="inlineStr">
        <is>
          <t>Sole Proprietorship / Partnership</t>
        </is>
      </c>
      <c r="D59" s="29" t="inlineStr">
        <is>
          <t>CH3</t>
        </is>
      </c>
      <c r="E59" s="50" t="inlineStr">
        <is>
          <t>RHB Support Email</t>
        </is>
      </c>
      <c r="F59" s="3" t="inlineStr">
        <is>
          <t>RHB Support email body — values and wording</t>
        </is>
      </c>
      <c r="G59" s="3" t="inlineStr">
        <is>
          <t>CH3-02 passed (Application Approved). Values from the run log (black window) block READY FOR MANUAL EMAIL CHECK and the expected-email file 04-runs/12341_CH3_&lt;run&gt;.md.</t>
        </is>
      </c>
      <c r="H59" s="3" t="inlineStr">
        <is>
          <t>1. Open the body.
2. Compare with sheet 'Expected Templates' → 'Email Template 3 — Body'.
3. Compare each value line with the Application.</t>
        </is>
      </c>
      <c r="I59" s="3" t="inlineStr">
        <is>
          <t>1. Every paragraph present, in order, same wording (1 working day request, Reply All instruction, signature block).
2. Company Name / Business Registration Number / UCD Contact Person / Contact Number / Email Address show the Application's values (which contact: Q-04).
3. Does NOT contain 'The above company is not eligible for RHB's online account-opening process…'.</t>
        </is>
      </c>
      <c r="J59" s="3" t="inlineStr">
        <is>
          <t>REQ-009</t>
        </is>
      </c>
      <c r="K59" s="29" t="inlineStr">
        <is>
          <t>High</t>
        </is>
      </c>
      <c r="L59" s="3" t="inlineStr">
        <is>
          <t>Functional</t>
        </is>
      </c>
      <c r="M59" s="3" t="inlineStr"/>
      <c r="N59" s="29" t="inlineStr">
        <is>
          <t>Not Run</t>
        </is>
      </c>
      <c r="O59" s="3" t="inlineStr"/>
      <c r="P59" s="47" t="inlineStr"/>
      <c r="Q59" s="3" t="inlineStr"/>
      <c r="R59" s="3" t="inlineStr"/>
      <c r="S59" s="3" t="inlineStr">
        <is>
          <t>The robot uses different name / mobile / email for Admin and Director, so this email shows which one the system takes (Q-04).</t>
        </is>
      </c>
    </row>
    <row r="60" ht="48" customHeight="1">
      <c r="A60" s="29" t="n">
        <v>54</v>
      </c>
      <c r="B60" s="46" t="inlineStr">
        <is>
          <t>CH3-14</t>
        </is>
      </c>
      <c r="C60" s="3" t="inlineStr">
        <is>
          <t>Sole Proprietorship / Partnership</t>
        </is>
      </c>
      <c r="D60" s="29" t="inlineStr">
        <is>
          <t>CH3</t>
        </is>
      </c>
      <c r="E60" s="50" t="inlineStr">
        <is>
          <t>RHB Support Email</t>
        </is>
      </c>
      <c r="F60" s="3" t="inlineStr">
        <is>
          <t>Appointment Letter attached to the RHB Support email</t>
        </is>
      </c>
      <c r="G60" s="3" t="inlineStr">
        <is>
          <t>CH3-02 passed (Application Approved). Values from the run log (black window) block READY FOR MANUAL EMAIL CHECK and the expected-email file 04-runs/12341_CH3_&lt;run&gt;.md.</t>
        </is>
      </c>
      <c r="H60" s="3" t="inlineStr">
        <is>
          <t>1. Open the Attachments tab.
2. Download and open the attachment.</t>
        </is>
      </c>
      <c r="I60" s="3" t="inlineStr">
        <is>
          <t>1. Exactly one attachment: the Appointment Letter for THIS Application.
2. It opens without error.</t>
        </is>
      </c>
      <c r="J60" s="3" t="inlineStr">
        <is>
          <t>REQ-008</t>
        </is>
      </c>
      <c r="K60" s="29" t="inlineStr">
        <is>
          <t>High</t>
        </is>
      </c>
      <c r="L60" s="3" t="inlineStr">
        <is>
          <t>Functional</t>
        </is>
      </c>
      <c r="M60" s="3" t="inlineStr"/>
      <c r="N60" s="29" t="inlineStr">
        <is>
          <t>Not Run</t>
        </is>
      </c>
      <c r="O60" s="3" t="inlineStr"/>
      <c r="P60" s="47" t="inlineStr"/>
      <c r="Q60" s="3" t="inlineStr"/>
      <c r="R60" s="3" t="inlineStr"/>
      <c r="S60" s="3" t="inlineStr"/>
    </row>
    <row r="61" ht="196" customHeight="1">
      <c r="A61" s="29" t="n">
        <v>55</v>
      </c>
      <c r="B61" s="46" t="inlineStr">
        <is>
          <t>CH3-15</t>
        </is>
      </c>
      <c r="C61" s="3" t="inlineStr">
        <is>
          <t>Sole Proprietorship / Partnership</t>
        </is>
      </c>
      <c r="D61" s="29" t="inlineStr">
        <is>
          <t>CH3</t>
        </is>
      </c>
      <c r="E61" s="51" t="inlineStr">
        <is>
          <t>Appointment Letter</t>
        </is>
      </c>
      <c r="F61" s="3" t="inlineStr">
        <is>
          <t>Appointment Letter layout and fixed text</t>
        </is>
      </c>
      <c r="G61" s="3" t="inlineStr">
        <is>
          <t>CH3-02 passed (Application Approved). Values from the run log (black window) block READY FOR MANUAL EMAIL CHECK and the expected-email file 04-runs/12341_CH3_&lt;run&gt;.md.</t>
        </is>
      </c>
      <c r="H61" s="3" t="inlineStr">
        <is>
          <t>1. Open the letter from the guideline email.
2. Compare with sheet 'Expected Templates' → 'Appointment Letter' and with Sample_Appointment_Letter_v2.0.
3. Check header, body, signature and footer on every page.</t>
        </is>
      </c>
      <c r="I61" s="3" t="inlineStr">
        <is>
          <t>1. Title 'LETTER OF CONFIRMATION OF REGISTRATION AS A USED CAR DEALER (UCD) UNDER eAUTO SDN. BHD. PLATFORM' (spacing: Q-10).
2. Letterhead: eAuto logo, 'eAuto Sdn Bhd 200401038456 (676967-T)', address, 'Tel: 03-2779 8893'.
3. Clauses 1–8 numbered, wording as the template; Clause 6 refers to 'Clause 5'.
4. Registration details table (UCD Name / Company Registration No. / UCD / Dealer Reference No.).
5. Signature image, 'CHIA KET MING', 'COO'; footer 'Website: www.eauto.my | Customer Service: 03-2779 8899 | Email: support@eauto.my'.
6. No layout break (cut text, overlap, blank page).</t>
        </is>
      </c>
      <c r="J61" s="3" t="inlineStr">
        <is>
          <t>REQ-007</t>
        </is>
      </c>
      <c r="K61" s="29" t="inlineStr">
        <is>
          <t>Medium</t>
        </is>
      </c>
      <c r="L61" s="3" t="inlineStr">
        <is>
          <t>Functional</t>
        </is>
      </c>
      <c r="M61" s="3" t="inlineStr"/>
      <c r="N61" s="29" t="inlineStr">
        <is>
          <t>Not Run</t>
        </is>
      </c>
      <c r="O61" s="3" t="inlineStr"/>
      <c r="P61" s="47" t="inlineStr"/>
      <c r="Q61" s="3" t="inlineStr"/>
      <c r="R61" s="3" t="inlineStr"/>
      <c r="S61" s="3" t="inlineStr"/>
    </row>
    <row r="62" ht="182" customHeight="1">
      <c r="A62" s="29" t="n">
        <v>56</v>
      </c>
      <c r="B62" s="46" t="inlineStr">
        <is>
          <t>CH3-16</t>
        </is>
      </c>
      <c r="C62" s="3" t="inlineStr">
        <is>
          <t>Sole Proprietorship / Partnership</t>
        </is>
      </c>
      <c r="D62" s="29" t="inlineStr">
        <is>
          <t>CH3</t>
        </is>
      </c>
      <c r="E62" s="51" t="inlineStr">
        <is>
          <t>Appointment Letter</t>
        </is>
      </c>
      <c r="F62" s="3" t="inlineStr">
        <is>
          <t>Appointment Letter pre-filled values</t>
        </is>
      </c>
      <c r="G62" s="3" t="inlineStr">
        <is>
          <t>CH3-02 passed (Application Approved). Values from the run log (black window) block READY FOR MANUAL EMAIL CHECK and the expected-email file 04-runs/12341_CH3_&lt;run&gt;.md. SSM details from CH3-03.</t>
        </is>
      </c>
      <c r="H62" s="3" t="inlineStr">
        <is>
          <t>1. Open the letter.
2. Compare each value with its source (run log, Application, Pre-Application SSM details).</t>
        </is>
      </c>
      <c r="I62" s="3" t="inlineStr">
        <is>
          <t>1. Date = Application approval date, DD/MM/YYYY.
2. Our Ref = eAuto/OPS/UCD/&lt;Application No&gt;/&lt;approval year&gt; (square brackets: Q-07).
3. UCD Company Name = the Application's company name (recipient block, Clause 1, Clause 4).
4. Company Registration No. = &lt;ROB no. with letter&gt; (&lt;12-digit no.&gt;), e.g. 003123456-X (202103123456) — identical in recipient block, Clause 1 and Clause 4.
5. Company Address = the Application's company address (which field: Q-06).
6. UCD / Dealer Reference No. = '&lt;Pre-Application No&gt; / &lt;Application No&gt;'.</t>
        </is>
      </c>
      <c r="J62" s="3" t="inlineStr">
        <is>
          <t>REQ-007</t>
        </is>
      </c>
      <c r="K62" s="29" t="inlineStr">
        <is>
          <t>High</t>
        </is>
      </c>
      <c r="L62" s="3" t="inlineStr">
        <is>
          <t>Functional</t>
        </is>
      </c>
      <c r="M62" s="3" t="inlineStr"/>
      <c r="N62" s="29" t="inlineStr">
        <is>
          <t>Not Run</t>
        </is>
      </c>
      <c r="O62" s="3" t="inlineStr"/>
      <c r="P62" s="47" t="inlineStr"/>
      <c r="Q62" s="3" t="inlineStr"/>
      <c r="R62" s="3" t="inlineStr"/>
      <c r="S62" s="3" t="inlineStr"/>
    </row>
    <row r="63" ht="48" customHeight="1">
      <c r="A63" s="29" t="n">
        <v>57</v>
      </c>
      <c r="B63" s="46" t="inlineStr">
        <is>
          <t>CH3-17</t>
        </is>
      </c>
      <c r="C63" s="3" t="inlineStr">
        <is>
          <t>Sole Proprietorship / Partnership</t>
        </is>
      </c>
      <c r="D63" s="29" t="inlineStr">
        <is>
          <t>CH3</t>
        </is>
      </c>
      <c r="E63" s="51" t="inlineStr">
        <is>
          <t>Appointment Letter</t>
        </is>
      </c>
      <c r="F63" s="3" t="inlineStr">
        <is>
          <t>Same Appointment Letter on both emails</t>
        </is>
      </c>
      <c r="G63" s="3" t="inlineStr">
        <is>
          <t>CH3-02 passed (Application Approved). Values from the run log (black window) block READY FOR MANUAL EMAIL CHECK and the expected-email file 04-runs/12341_CH3_&lt;run&gt;.md.</t>
        </is>
      </c>
      <c r="H63" s="3" t="inlineStr">
        <is>
          <t>1. Download the attachment of the guideline email and of the RHB Support email.
2. Compare them.</t>
        </is>
      </c>
      <c r="I63" s="3" t="inlineStr">
        <is>
          <t>1. Same file name and size.
2. Same Our Ref, date, company, registration number and reference numbers.</t>
        </is>
      </c>
      <c r="J63" s="3" t="inlineStr">
        <is>
          <t>REQ-008</t>
        </is>
      </c>
      <c r="K63" s="29" t="inlineStr">
        <is>
          <t>Medium</t>
        </is>
      </c>
      <c r="L63" s="3" t="inlineStr">
        <is>
          <t>Functional</t>
        </is>
      </c>
      <c r="M63" s="3" t="inlineStr"/>
      <c r="N63" s="29" t="inlineStr">
        <is>
          <t>Not Run</t>
        </is>
      </c>
      <c r="O63" s="3" t="inlineStr"/>
      <c r="P63" s="47" t="inlineStr"/>
      <c r="Q63" s="3" t="inlineStr"/>
      <c r="R63" s="3" t="inlineStr"/>
      <c r="S63" s="3" t="inlineStr"/>
    </row>
    <row r="64" ht="98" customHeight="1">
      <c r="A64" s="29" t="n">
        <v>58</v>
      </c>
      <c r="B64" s="46" t="inlineStr">
        <is>
          <t>CH3-18</t>
        </is>
      </c>
      <c r="C64" s="3" t="inlineStr">
        <is>
          <t>Sole Proprietorship / Partnership</t>
        </is>
      </c>
      <c r="D64" s="29" t="inlineStr">
        <is>
          <t>CH3</t>
        </is>
      </c>
      <c r="E64" s="48" t="inlineStr">
        <is>
          <t>Negative &amp; Regression</t>
        </is>
      </c>
      <c r="F64" s="3" t="inlineStr">
        <is>
          <t>No unresolved placeholders anywhere</t>
        </is>
      </c>
      <c r="G64" s="3" t="inlineStr">
        <is>
          <t>CH3-02 passed (Application Approved). Values from the run log (black window) block READY FOR MANUAL EMAIL CHECK and the expected-email file 04-runs/12341_CH3_&lt;run&gt;.md.</t>
        </is>
      </c>
      <c r="H64" s="3" t="inlineStr">
        <is>
          <t>1. In both emails, search the subject and body for '[' and ']'.
2. In the letter, search for '[' and ']'.</t>
        </is>
      </c>
      <c r="I64" s="3" t="inlineStr">
        <is>
          <t>1. None of these appear literally: [Application No], [Company Name], [BRN Number], [Name], [Contact Number], [UCD Email Address], [RHB Online Registration Link], [Application Link], [DD/MM/YYYY], [YYYY], [UCD Company Name], [Old BRN], [New BRN], [Company Address], [Pre-Application No].
2. No empty value (e.g. 'Company Name: ' with nothing after it).</t>
        </is>
      </c>
      <c r="J64" s="3" t="inlineStr">
        <is>
          <t>REQ-005, REQ-007, REQ-009</t>
        </is>
      </c>
      <c r="K64" s="29" t="inlineStr">
        <is>
          <t>High</t>
        </is>
      </c>
      <c r="L64" s="3" t="inlineStr">
        <is>
          <t>Negative</t>
        </is>
      </c>
      <c r="M64" s="3" t="inlineStr"/>
      <c r="N64" s="29" t="inlineStr">
        <is>
          <t>Not Run</t>
        </is>
      </c>
      <c r="O64" s="3" t="inlineStr"/>
      <c r="P64" s="47" t="inlineStr"/>
      <c r="Q64" s="3" t="inlineStr"/>
      <c r="R64" s="3" t="inlineStr"/>
      <c r="S64" s="3" t="inlineStr">
        <is>
          <t>Brackets kept around a filled value in the letter are Q-07, not a failure here.</t>
        </is>
      </c>
    </row>
    <row r="65" ht="48" customHeight="1">
      <c r="A65" s="29" t="n">
        <v>59</v>
      </c>
      <c r="B65" s="46" t="inlineStr">
        <is>
          <t>CH3-19</t>
        </is>
      </c>
      <c r="C65" s="3" t="inlineStr">
        <is>
          <t>Sole Proprietorship / Partnership</t>
        </is>
      </c>
      <c r="D65" s="29" t="inlineStr">
        <is>
          <t>CH3</t>
        </is>
      </c>
      <c r="E65" s="48" t="inlineStr">
        <is>
          <t>Negative &amp; Regression</t>
        </is>
      </c>
      <c r="F65" s="3" t="inlineStr">
        <is>
          <t>Exactly one of each email per approval (no duplicates)</t>
        </is>
      </c>
      <c r="G65" s="3" t="inlineStr">
        <is>
          <t>CH3-02 passed (Application Approved). Values from the run log (black window) block READY FOR MANUAL EMAIL CHECK and the expected-email file 04-runs/12341_CH3_&lt;run&gt;.md.</t>
        </is>
      </c>
      <c r="H65" s="3" t="inlineStr">
        <is>
          <t>1. Wait 10 minutes after the 'approved' time (Q-16).
2. In Mailtrap, count the emails for this Application by subject.</t>
        </is>
      </c>
      <c r="I65" s="3" t="inlineStr">
        <is>
          <t>1. Exactly 1 × 'RHB Online / Branch Account Opening - …'.
2. Exactly 1 × 'Approved eAuto Registration - …'.</t>
        </is>
      </c>
      <c r="J65" s="3" t="inlineStr">
        <is>
          <t>REQ-001</t>
        </is>
      </c>
      <c r="K65" s="29" t="inlineStr">
        <is>
          <t>Medium</t>
        </is>
      </c>
      <c r="L65" s="3" t="inlineStr">
        <is>
          <t>Negative</t>
        </is>
      </c>
      <c r="M65" s="3" t="inlineStr"/>
      <c r="N65" s="29" t="inlineStr">
        <is>
          <t>Not Run</t>
        </is>
      </c>
      <c r="O65" s="3" t="inlineStr"/>
      <c r="P65" s="47" t="inlineStr"/>
      <c r="Q65" s="3" t="inlineStr"/>
      <c r="R65" s="3" t="inlineStr"/>
      <c r="S65" s="3" t="inlineStr"/>
    </row>
    <row r="66" ht="18" customHeight="1">
      <c r="A66" s="54" t="inlineStr">
        <is>
          <t>Run CH4  ·  5 business owners, all Malaysian  ·  TIN starts with D  ·  REQ-005 Example 2 (5 or more owners) — must get the SAME email as CH1.</t>
        </is>
      </c>
      <c r="P66" s="52" t="n"/>
    </row>
    <row r="67" ht="126" customHeight="1">
      <c r="A67" s="29" t="n">
        <v>60</v>
      </c>
      <c r="B67" s="46" t="inlineStr">
        <is>
          <t>CH4-01</t>
        </is>
      </c>
      <c r="C67" s="3" t="inlineStr">
        <is>
          <t>Sole Proprietorship / Partnership</t>
        </is>
      </c>
      <c r="D67" s="29" t="inlineStr">
        <is>
          <t>CH4</t>
        </is>
      </c>
      <c r="E67" s="36" t="inlineStr">
        <is>
          <t>Setup &amp; Flow</t>
        </is>
      </c>
      <c r="F67" s="3" t="inlineStr">
        <is>
          <t>eSim set up for CH4 — Sole Proprietorship / Partnership, 5 business owners, all Malaysian</t>
        </is>
      </c>
      <c r="G67" s="3" t="inlineStr">
        <is>
          <t>A PASS company from the checker sheet (TIN starts with D) typed in tab '1 Companies'. VPN on.</t>
        </is>
      </c>
      <c r="H67" s="3" t="inlineStr">
        <is>
          <t>1. Log in to eSim: https://172.30.202.114:9089/esim/login.
2. Open tab 'CH4' of EAINT-12341_eSim_Setup.xlsx.
3. Screen 'Ssm Enquiry Resp': type every value of Part A, then Save.
4. Submission screen: type every value of Part B (including the tags and the people), then Save.
5. Screenshot both saved records.</t>
        </is>
      </c>
      <c r="I67" s="3" t="inlineStr">
        <is>
          <t>1. Ssm Enquiry Resp saved with Response Code 004, the ROC without its letter, the 12-digit number, Delay 0.
2. Submission record saved with Response Code 005, status ACTIVE/EXISTING and exactly 5 business owners.
3. No error message on save.</t>
        </is>
      </c>
      <c r="J67" s="3" t="inlineStr">
        <is>
          <t>Test data (eSimulator guide)</t>
        </is>
      </c>
      <c r="K67" s="29" t="inlineStr">
        <is>
          <t>High</t>
        </is>
      </c>
      <c r="L67" s="3" t="inlineStr">
        <is>
          <t>Setup</t>
        </is>
      </c>
      <c r="M67" s="3" t="inlineStr"/>
      <c r="N67" s="29" t="inlineStr">
        <is>
          <t>Not Run</t>
        </is>
      </c>
      <c r="O67" s="3" t="inlineStr"/>
      <c r="P67" s="47" t="inlineStr"/>
      <c r="Q67" s="3" t="inlineStr"/>
      <c r="R67" s="3" t="inlineStr"/>
      <c r="S67" s="3" t="inlineStr"/>
    </row>
    <row r="68" ht="126" customHeight="1">
      <c r="A68" s="29" t="n">
        <v>61</v>
      </c>
      <c r="B68" s="46" t="inlineStr">
        <is>
          <t>CH4-02</t>
        </is>
      </c>
      <c r="C68" s="3" t="inlineStr">
        <is>
          <t>Sole Proprietorship / Partnership</t>
        </is>
      </c>
      <c r="D68" s="29" t="inlineStr">
        <is>
          <t>CH4</t>
        </is>
      </c>
      <c r="E68" s="36" t="inlineStr">
        <is>
          <t>Setup &amp; Flow</t>
        </is>
      </c>
      <c r="F68" s="3" t="inlineStr">
        <is>
          <t>Robot runs CH4 to Application Approved</t>
        </is>
      </c>
      <c r="G68" s="3" t="inlineStr">
        <is>
          <t>CH4-01 passed. VPN on. Settings file filled. Mailtrap open.</t>
        </is>
      </c>
      <c r="H68" s="3" t="inlineStr">
        <is>
          <t>1. In the automation folder run: npm run ch4.
2. Tick 'I'm not a robot' when the window asks.
3. Pay in the payment window when the window asks.
4. Do not click anything else; wait for the end of the run.
5. Copy the black-window text and keep it with the evidence.</t>
        </is>
      </c>
      <c r="I68" s="3" t="inlineStr">
        <is>
          <t>1. The Pre-Application is created, paid and approved (Pre-Application No P……/….. printed).
2. The Application is submitted and approved by the Approver (Application No NA…….. printed).
3. The window shows 'READY FOR MANUAL EMAIL CHECK' — stopped at Application Approved.
4. An expected-email file is created in 04-runs/.</t>
        </is>
      </c>
      <c r="J68" s="3" t="inlineStr">
        <is>
          <t>REQ-001 (trigger)</t>
        </is>
      </c>
      <c r="K68" s="29" t="inlineStr">
        <is>
          <t>High</t>
        </is>
      </c>
      <c r="L68" s="3" t="inlineStr">
        <is>
          <t>E2E flow (automation)</t>
        </is>
      </c>
      <c r="M68" s="3" t="inlineStr"/>
      <c r="N68" s="29" t="inlineStr">
        <is>
          <t>Not Run</t>
        </is>
      </c>
      <c r="O68" s="3" t="inlineStr"/>
      <c r="P68" s="47" t="inlineStr"/>
      <c r="Q68" s="3" t="inlineStr"/>
      <c r="R68" s="3" t="inlineStr"/>
      <c r="S68" s="3" t="inlineStr"/>
    </row>
    <row r="69" ht="112" customHeight="1">
      <c r="A69" s="29" t="n">
        <v>62</v>
      </c>
      <c r="B69" s="46" t="inlineStr">
        <is>
          <t>CH4-03</t>
        </is>
      </c>
      <c r="C69" s="3" t="inlineStr">
        <is>
          <t>Sole Proprietorship / Partnership</t>
        </is>
      </c>
      <c r="D69" s="29" t="inlineStr">
        <is>
          <t>CH4</t>
        </is>
      </c>
      <c r="E69" s="36" t="inlineStr">
        <is>
          <t>Setup &amp; Flow</t>
        </is>
      </c>
      <c r="F69" s="3" t="inlineStr">
        <is>
          <t>Pre-Application summary shows the SSM details set up in eSim</t>
        </is>
      </c>
      <c r="G69" s="3" t="inlineStr">
        <is>
          <t>CH4-02 reached at least Pre-Application approved.</t>
        </is>
      </c>
      <c r="H69" s="3" t="inlineStr">
        <is>
          <t>1. BackOffice &gt; Pre-Application listing: search the Pre-Application No.
2. Check the SSM Status column.
3. Open the record and its SSM details.</t>
        </is>
      </c>
      <c r="I69" s="3" t="inlineStr">
        <is>
          <t>1. SSM Status = OK.
2. Registration no. = &lt;ROB no. with letter&gt; (&lt;12-digit no.&gt;) exactly as in tab '1 Companies' (letter not doubled, e.g. no '-U-A').
3. The people listed match the eSim setup (5 business owners, all Malaysian).
4. These are the values the Appointment Letter must use (old / new BRN).</t>
        </is>
      </c>
      <c r="J69" s="3" t="inlineStr">
        <is>
          <t>REQ-007 (letter data source)</t>
        </is>
      </c>
      <c r="K69" s="29" t="inlineStr">
        <is>
          <t>High</t>
        </is>
      </c>
      <c r="L69" s="3" t="inlineStr">
        <is>
          <t>Data</t>
        </is>
      </c>
      <c r="M69" s="3" t="inlineStr"/>
      <c r="N69" s="29" t="inlineStr">
        <is>
          <t>Not Run</t>
        </is>
      </c>
      <c r="O69" s="3" t="inlineStr"/>
      <c r="P69" s="47" t="inlineStr"/>
      <c r="Q69" s="3" t="inlineStr"/>
      <c r="R69" s="3" t="inlineStr"/>
      <c r="S69" s="3" t="inlineStr"/>
    </row>
    <row r="70" ht="84" customHeight="1">
      <c r="A70" s="29" t="n">
        <v>63</v>
      </c>
      <c r="B70" s="46" t="inlineStr">
        <is>
          <t>CH4-04</t>
        </is>
      </c>
      <c r="C70" s="3" t="inlineStr">
        <is>
          <t>Sole Proprietorship / Partnership</t>
        </is>
      </c>
      <c r="D70" s="29" t="inlineStr">
        <is>
          <t>CH4</t>
        </is>
      </c>
      <c r="E70" s="48" t="inlineStr">
        <is>
          <t>Negative &amp; Regression</t>
        </is>
      </c>
      <c r="F70" s="3" t="inlineStr">
        <is>
          <t>Pre-Application approval does NOT send the new emails</t>
        </is>
      </c>
      <c r="G70" s="3" t="inlineStr">
        <is>
          <t>CH4-02 reached at least Pre-Application approved.</t>
        </is>
      </c>
      <c r="H70" s="3" t="inlineStr">
        <is>
          <t>1. Take the 'pre-app approved' and 'approved' (or 'submitted') times from the run log.
2. In Mailtrap, list all emails to the run's admin and director email addresses between those two times.</t>
        </is>
      </c>
      <c r="I70" s="3" t="inlineStr">
        <is>
          <t>1. No 'RHB Online / Branch Account Opening' email in that window.
2. No 'Approved eAuto Registration' email in that window.
3. The existing Pre-Application approval email (with the Application link) still arrives as before.</t>
        </is>
      </c>
      <c r="J70" s="3" t="inlineStr">
        <is>
          <t>REQ-001</t>
        </is>
      </c>
      <c r="K70" s="29" t="inlineStr">
        <is>
          <t>Medium</t>
        </is>
      </c>
      <c r="L70" s="3" t="inlineStr">
        <is>
          <t>Negative</t>
        </is>
      </c>
      <c r="M70" s="3" t="inlineStr"/>
      <c r="N70" s="29" t="inlineStr">
        <is>
          <t>Not Run</t>
        </is>
      </c>
      <c r="O70" s="3" t="inlineStr"/>
      <c r="P70" s="47" t="inlineStr"/>
      <c r="Q70" s="3" t="inlineStr"/>
      <c r="R70" s="3" t="inlineStr"/>
      <c r="S70" s="3" t="inlineStr"/>
    </row>
    <row r="71" ht="98" customHeight="1">
      <c r="A71" s="29" t="n">
        <v>64</v>
      </c>
      <c r="B71" s="46" t="inlineStr">
        <is>
          <t>CH4-05</t>
        </is>
      </c>
      <c r="C71" s="3" t="inlineStr">
        <is>
          <t>Sole Proprietorship / Partnership</t>
        </is>
      </c>
      <c r="D71" s="29" t="inlineStr">
        <is>
          <t>CH4</t>
        </is>
      </c>
      <c r="E71" s="49" t="inlineStr">
        <is>
          <t>Guideline Email (UCD)</t>
        </is>
      </c>
      <c r="F71" s="3" t="inlineStr">
        <is>
          <t>Guideline email is received by the UCD — To and CC</t>
        </is>
      </c>
      <c r="G71" s="3" t="inlineStr">
        <is>
          <t>CH4-02 passed (Application Approved). Values from the run log (black window) block READY FOR MANUAL EMAIL CHECK and the expected-email file 04-runs/12341_CH4_&lt;run&gt;.md.</t>
        </is>
      </c>
      <c r="H71" s="3" t="inlineStr">
        <is>
          <t>1. In Mailtrap, search the admin email and the director email from the run log.
2. Open the email whose subject starts 'RHB Online / Branch Account Opening'.
3. Open its headers (To, CC) and note the received time.</t>
        </is>
      </c>
      <c r="I71" s="3" t="inlineStr">
        <is>
          <t>1. Exactly one such email for this Application.
2. To = the UCD email recorded in the Application — record WHICH address it is (admin or director, Q-04).
3. CC = apply@eauto.my.
4. Received after the 'approved' time in the run log.</t>
        </is>
      </c>
      <c r="J71" s="3" t="inlineStr">
        <is>
          <t>REQ-001, REQ-002</t>
        </is>
      </c>
      <c r="K71" s="29" t="inlineStr">
        <is>
          <t>High</t>
        </is>
      </c>
      <c r="L71" s="3" t="inlineStr">
        <is>
          <t>Functional</t>
        </is>
      </c>
      <c r="M71" s="3" t="inlineStr"/>
      <c r="N71" s="29" t="inlineStr">
        <is>
          <t>Not Run</t>
        </is>
      </c>
      <c r="O71" s="3" t="inlineStr"/>
      <c r="P71" s="47" t="inlineStr"/>
      <c r="Q71" s="3" t="inlineStr"/>
      <c r="R71" s="3" t="inlineStr"/>
      <c r="S71" s="3" t="inlineStr">
        <is>
          <t>Sender (From) not checked — still pending Operations (Q-12).</t>
        </is>
      </c>
    </row>
    <row r="72" ht="84" customHeight="1">
      <c r="A72" s="29" t="n">
        <v>65</v>
      </c>
      <c r="B72" s="46" t="inlineStr">
        <is>
          <t>CH4-06</t>
        </is>
      </c>
      <c r="C72" s="3" t="inlineStr">
        <is>
          <t>Sole Proprietorship / Partnership</t>
        </is>
      </c>
      <c r="D72" s="29" t="inlineStr">
        <is>
          <t>CH4</t>
        </is>
      </c>
      <c r="E72" s="49" t="inlineStr">
        <is>
          <t>Guideline Email (UCD)</t>
        </is>
      </c>
      <c r="F72" s="3" t="inlineStr">
        <is>
          <t>Guideline email subject</t>
        </is>
      </c>
      <c r="G72" s="3" t="inlineStr">
        <is>
          <t>CH4-02 passed (Application Approved). Values from the run log (black window) block READY FOR MANUAL EMAIL CHECK and the expected-email file 04-runs/12341_CH4_&lt;run&gt;.md.</t>
        </is>
      </c>
      <c r="H72" s="3" t="inlineStr">
        <is>
          <t>1. Open the guideline email.
2. Read the subject exactly as shown.</t>
        </is>
      </c>
      <c r="I72" s="3" t="inlineStr">
        <is>
          <t>1. Subject = 'RHB Online / Branch Account Opening - &lt;Application No&gt; - &lt;Company Name&gt;'.
2. &lt;Application No&gt; = the NA number in the run log; &lt;Company Name&gt; = the run's company name.
3. Not the old v1.1 subjects 'RHB Online Account Opening - …' or 'RHB Branch Account Opening - …'.</t>
        </is>
      </c>
      <c r="J72" s="3" t="inlineStr">
        <is>
          <t>REQ-005</t>
        </is>
      </c>
      <c r="K72" s="29" t="inlineStr">
        <is>
          <t>High</t>
        </is>
      </c>
      <c r="L72" s="3" t="inlineStr">
        <is>
          <t>Functional</t>
        </is>
      </c>
      <c r="M72" s="3" t="inlineStr"/>
      <c r="N72" s="29" t="inlineStr">
        <is>
          <t>Not Run</t>
        </is>
      </c>
      <c r="O72" s="3" t="inlineStr"/>
      <c r="P72" s="47" t="inlineStr"/>
      <c r="Q72" s="3" t="inlineStr"/>
      <c r="R72" s="3" t="inlineStr"/>
      <c r="S72" s="3" t="inlineStr"/>
    </row>
    <row r="73" ht="168" customHeight="1">
      <c r="A73" s="29" t="n">
        <v>66</v>
      </c>
      <c r="B73" s="46" t="inlineStr">
        <is>
          <t>CH4-07</t>
        </is>
      </c>
      <c r="C73" s="3" t="inlineStr">
        <is>
          <t>Sole Proprietorship / Partnership</t>
        </is>
      </c>
      <c r="D73" s="29" t="inlineStr">
        <is>
          <t>CH4</t>
        </is>
      </c>
      <c r="E73" s="49" t="inlineStr">
        <is>
          <t>Guideline Email (UCD)</t>
        </is>
      </c>
      <c r="F73" s="3" t="inlineStr">
        <is>
          <t>Guideline email body — same combined template (online + branch options)</t>
        </is>
      </c>
      <c r="G73" s="3" t="inlineStr">
        <is>
          <t>CH4-02 passed (Application Approved). Values from the run log (black window) block READY FOR MANUAL EMAIL CHECK and the expected-email file 04-runs/12341_CH4_&lt;run&gt;.md.</t>
        </is>
      </c>
      <c r="H73" s="3" t="inlineStr">
        <is>
          <t>1. Open the email body (HTML view).
2. Compare paragraph by paragraph with sheet 'Expected Templates' → 'Email Template 1 — Body' (or the 04-runs file).
3. Check the Text view too if Mailtrap shows one.</t>
        </is>
      </c>
      <c r="I73" s="3" t="inlineStr">
        <is>
          <t>1. Every paragraph present, in order, same wording.
2. Application No and Company Name show the run's values.
3. Contains 'within three (3) working days', 'Option 1 – Online Account Opening' (with the four (4) users note and seven (7) days) and 'Option 2 – Account Opening at RHB Branch'.
4. Ends with the signature block (Thank you / Best regards / eAuto Sdn Bhd / address / Customer Service / WhatsApp) — Q-01.
5. Does NOT contain 'As your company meets the eligibility requirements…' nor 'Please bring the documents provided by RHB…'.</t>
        </is>
      </c>
      <c r="J73" s="3" t="inlineStr">
        <is>
          <t>REQ-005</t>
        </is>
      </c>
      <c r="K73" s="29" t="inlineStr">
        <is>
          <t>High</t>
        </is>
      </c>
      <c r="L73" s="3" t="inlineStr">
        <is>
          <t>Functional</t>
        </is>
      </c>
      <c r="M73" s="3" t="inlineStr"/>
      <c r="N73" s="29" t="inlineStr">
        <is>
          <t>Not Run</t>
        </is>
      </c>
      <c r="O73" s="3" t="inlineStr"/>
      <c r="P73" s="47" t="inlineStr"/>
      <c r="Q73" s="3" t="inlineStr"/>
      <c r="R73" s="3" t="inlineStr"/>
      <c r="S73" s="3" t="inlineStr">
        <is>
          <t>Same expected text for every business type — REQ-005 Example 1 and Example 2 both send Email Template 1. REQ-005 Example 2 (5 or more owners) — must get the SAME email as CH1.</t>
        </is>
      </c>
    </row>
    <row r="74" ht="56" customHeight="1">
      <c r="A74" s="29" t="n">
        <v>67</v>
      </c>
      <c r="B74" s="46" t="inlineStr">
        <is>
          <t>CH4-08</t>
        </is>
      </c>
      <c r="C74" s="3" t="inlineStr">
        <is>
          <t>Sole Proprietorship / Partnership</t>
        </is>
      </c>
      <c r="D74" s="29" t="inlineStr">
        <is>
          <t>CH4</t>
        </is>
      </c>
      <c r="E74" s="49" t="inlineStr">
        <is>
          <t>Guideline Email (UCD)</t>
        </is>
      </c>
      <c r="F74" s="3" t="inlineStr">
        <is>
          <t>Links in the guideline email</t>
        </is>
      </c>
      <c r="G74" s="3" t="inlineStr">
        <is>
          <t>CH4-02 passed (Application Approved). Values from the run log (black window) block READY FOR MANUAL EMAIL CHECK and the expected-email file 04-runs/12341_CH4_&lt;run&gt;.md.</t>
        </is>
      </c>
      <c r="H74" s="3" t="inlineStr">
        <is>
          <t>1. Hover over the link under 'Option 1 – Online Account Opening' and note the target.
2. Hover over the Application Link near the end.</t>
        </is>
      </c>
      <c r="I74" s="3" t="inlineStr">
        <is>
          <t>1. Option 1 link target = https://smecaonline.rhbgroup.com/sme/online?tag=campaign.
2. The Application Link is a clickable URL, not the text '[Application Link]'.</t>
        </is>
      </c>
      <c r="J74" s="3" t="inlineStr">
        <is>
          <t>REQ-005</t>
        </is>
      </c>
      <c r="K74" s="29" t="inlineStr">
        <is>
          <t>Medium</t>
        </is>
      </c>
      <c r="L74" s="3" t="inlineStr">
        <is>
          <t>Functional</t>
        </is>
      </c>
      <c r="M74" s="3" t="inlineStr"/>
      <c r="N74" s="29" t="inlineStr">
        <is>
          <t>Not Run</t>
        </is>
      </c>
      <c r="O74" s="3" t="inlineStr"/>
      <c r="P74" s="47" t="inlineStr"/>
      <c r="Q74" s="3" t="inlineStr"/>
      <c r="R74" s="3" t="inlineStr"/>
      <c r="S74" s="3" t="inlineStr">
        <is>
          <t>Where the Application Link must land is not in the SRD (Q-03).</t>
        </is>
      </c>
    </row>
    <row r="75" ht="98" customHeight="1">
      <c r="A75" s="29" t="n">
        <v>68</v>
      </c>
      <c r="B75" s="46" t="inlineStr">
        <is>
          <t>CH4-09</t>
        </is>
      </c>
      <c r="C75" s="3" t="inlineStr">
        <is>
          <t>Sole Proprietorship / Partnership</t>
        </is>
      </c>
      <c r="D75" s="29" t="inlineStr">
        <is>
          <t>CH4</t>
        </is>
      </c>
      <c r="E75" s="49" t="inlineStr">
        <is>
          <t>Guideline Email (UCD)</t>
        </is>
      </c>
      <c r="F75" s="3" t="inlineStr">
        <is>
          <t>Appointment Letter attached to the guideline email</t>
        </is>
      </c>
      <c r="G75" s="3" t="inlineStr">
        <is>
          <t>CH4-02 passed (Application Approved). Values from the run log (black window) block READY FOR MANUAL EMAIL CHECK and the expected-email file 04-runs/12341_CH4_&lt;run&gt;.md.</t>
        </is>
      </c>
      <c r="H75" s="3" t="inlineStr">
        <is>
          <t>1. Open the Attachments tab of the guideline email.
2. Note file name, type and size.
3. Download and open it.</t>
        </is>
      </c>
      <c r="I75" s="3" t="inlineStr">
        <is>
          <t>1. Exactly one attachment: the Appointment Letter.
2. It opens without error.
3. It is for THIS Application (company name and Application No match).
4. No Offer Letter, Direct Debit form or Board of Resolution attached.</t>
        </is>
      </c>
      <c r="J75" s="3" t="inlineStr">
        <is>
          <t>REQ-008</t>
        </is>
      </c>
      <c r="K75" s="29" t="inlineStr">
        <is>
          <t>High</t>
        </is>
      </c>
      <c r="L75" s="3" t="inlineStr">
        <is>
          <t>Functional</t>
        </is>
      </c>
      <c r="M75" s="3" t="inlineStr"/>
      <c r="N75" s="29" t="inlineStr">
        <is>
          <t>Not Run</t>
        </is>
      </c>
      <c r="O75" s="3" t="inlineStr"/>
      <c r="P75" s="47" t="inlineStr"/>
      <c r="Q75" s="3" t="inlineStr"/>
      <c r="R75" s="3" t="inlineStr"/>
      <c r="S75" s="3" t="inlineStr">
        <is>
          <t>File type and name not specified (Q-08) — record them.</t>
        </is>
      </c>
    </row>
    <row r="76" ht="56" customHeight="1">
      <c r="A76" s="29" t="n">
        <v>69</v>
      </c>
      <c r="B76" s="46" t="inlineStr">
        <is>
          <t>CH4-10</t>
        </is>
      </c>
      <c r="C76" s="3" t="inlineStr">
        <is>
          <t>Sole Proprietorship / Partnership</t>
        </is>
      </c>
      <c r="D76" s="29" t="inlineStr">
        <is>
          <t>CH4</t>
        </is>
      </c>
      <c r="E76" s="49" t="inlineStr">
        <is>
          <t>Guideline Email (UCD)</t>
        </is>
      </c>
      <c r="F76" s="3" t="inlineStr">
        <is>
          <t>Removed templates are not sent</t>
        </is>
      </c>
      <c r="G76" s="3" t="inlineStr">
        <is>
          <t>CH4-02 passed (Application Approved). Values from the run log (black window) block READY FOR MANUAL EMAIL CHECK and the expected-email file 04-runs/12341_CH4_&lt;run&gt;.md.</t>
        </is>
      </c>
      <c r="H76" s="3" t="inlineStr">
        <is>
          <t>1. In Mailtrap, list every email to the run's addresses after the 'approved' time.</t>
        </is>
      </c>
      <c r="I76" s="3" t="inlineStr">
        <is>
          <t>1. No email with subject 'RHB Branch Account Opening - …' (old Email Template 2).
2. No email with subject 'RHB Online Account Opening - …' without '/ Branch' (old Email Template 1).</t>
        </is>
      </c>
      <c r="J76" s="3" t="inlineStr">
        <is>
          <t>REQ-003 / REQ-004 removed, REQ-005</t>
        </is>
      </c>
      <c r="K76" s="29" t="inlineStr">
        <is>
          <t>Medium</t>
        </is>
      </c>
      <c r="L76" s="3" t="inlineStr">
        <is>
          <t>Negative</t>
        </is>
      </c>
      <c r="M76" s="3" t="inlineStr"/>
      <c r="N76" s="29" t="inlineStr">
        <is>
          <t>Not Run</t>
        </is>
      </c>
      <c r="O76" s="3" t="inlineStr"/>
      <c r="P76" s="47" t="inlineStr"/>
      <c r="Q76" s="3" t="inlineStr"/>
      <c r="R76" s="3" t="inlineStr"/>
      <c r="S76" s="3" t="inlineStr"/>
    </row>
    <row r="77" ht="98" customHeight="1">
      <c r="A77" s="29" t="n">
        <v>70</v>
      </c>
      <c r="B77" s="46" t="inlineStr">
        <is>
          <t>CH4-11</t>
        </is>
      </c>
      <c r="C77" s="3" t="inlineStr">
        <is>
          <t>Sole Proprietorship / Partnership</t>
        </is>
      </c>
      <c r="D77" s="29" t="inlineStr">
        <is>
          <t>CH4</t>
        </is>
      </c>
      <c r="E77" s="50" t="inlineStr">
        <is>
          <t>RHB Support Email</t>
        </is>
      </c>
      <c r="F77" s="3" t="inlineStr">
        <is>
          <t>RHB Support email — To and CC</t>
        </is>
      </c>
      <c r="G77" s="3" t="inlineStr">
        <is>
          <t>CH4-02 passed (Application Approved). Values from the run log (black window) block READY FOR MANUAL EMAIL CHECK and the expected-email file 04-runs/12341_CH4_&lt;run&gt;.md.</t>
        </is>
      </c>
      <c r="H77" s="3" t="inlineStr">
        <is>
          <t>1. In Mailtrap, search the run's admin / director email (it is in CC of this email).
2. Open the email whose subject starts 'Approved eAuto Registration'.
3. Open its headers.</t>
        </is>
      </c>
      <c r="I77" s="3" t="inlineStr">
        <is>
          <t>1. To = BIS.Support@rhbgroup.com.
2. CC contains the UCD email recorded in the Application AND apply@eauto.my.
3. Received after the 'approved' time.
4. The email is in Mailtrap only — nothing reached RHB (Q-17).</t>
        </is>
      </c>
      <c r="J77" s="3" t="inlineStr">
        <is>
          <t>REQ-006</t>
        </is>
      </c>
      <c r="K77" s="29" t="inlineStr">
        <is>
          <t>High</t>
        </is>
      </c>
      <c r="L77" s="3" t="inlineStr">
        <is>
          <t>Functional</t>
        </is>
      </c>
      <c r="M77" s="3" t="inlineStr"/>
      <c r="N77" s="29" t="inlineStr">
        <is>
          <t>Not Run</t>
        </is>
      </c>
      <c r="O77" s="3" t="inlineStr"/>
      <c r="P77" s="47" t="inlineStr"/>
      <c r="Q77" s="3" t="inlineStr"/>
      <c r="R77" s="3" t="inlineStr"/>
      <c r="S77" s="3" t="inlineStr"/>
    </row>
    <row r="78" ht="84" customHeight="1">
      <c r="A78" s="29" t="n">
        <v>71</v>
      </c>
      <c r="B78" s="46" t="inlineStr">
        <is>
          <t>CH4-12</t>
        </is>
      </c>
      <c r="C78" s="3" t="inlineStr">
        <is>
          <t>Sole Proprietorship / Partnership</t>
        </is>
      </c>
      <c r="D78" s="29" t="inlineStr">
        <is>
          <t>CH4</t>
        </is>
      </c>
      <c r="E78" s="50" t="inlineStr">
        <is>
          <t>RHB Support Email</t>
        </is>
      </c>
      <c r="F78" s="3" t="inlineStr">
        <is>
          <t>RHB Support email subject</t>
        </is>
      </c>
      <c r="G78" s="3" t="inlineStr">
        <is>
          <t>CH4-02 passed (Application Approved). Values from the run log (black window) block READY FOR MANUAL EMAIL CHECK and the expected-email file 04-runs/12341_CH4_&lt;run&gt;.md.</t>
        </is>
      </c>
      <c r="H78" s="3" t="inlineStr">
        <is>
          <t>1. Open the RHB Support email.
2. Read the subject.</t>
        </is>
      </c>
      <c r="I78" s="3" t="inlineStr">
        <is>
          <t>1. Subject = 'Approved eAuto Registration - &lt;Company Name&gt; - &lt;BRN Number&gt;'.
2. &lt;Company Name&gt; = the run's company name.
3. &lt;BRN Number&gt; = the number agreed in Q-05 (SRD example shows the 12-digit new number) — record which one.</t>
        </is>
      </c>
      <c r="J78" s="3" t="inlineStr">
        <is>
          <t>REQ-009</t>
        </is>
      </c>
      <c r="K78" s="29" t="inlineStr">
        <is>
          <t>High</t>
        </is>
      </c>
      <c r="L78" s="3" t="inlineStr">
        <is>
          <t>Functional</t>
        </is>
      </c>
      <c r="M78" s="3" t="inlineStr"/>
      <c r="N78" s="29" t="inlineStr">
        <is>
          <t>Not Run</t>
        </is>
      </c>
      <c r="O78" s="3" t="inlineStr"/>
      <c r="P78" s="47" t="inlineStr"/>
      <c r="Q78" s="3" t="inlineStr"/>
      <c r="R78" s="3" t="inlineStr"/>
      <c r="S78" s="3" t="inlineStr"/>
    </row>
    <row r="79" ht="112" customHeight="1">
      <c r="A79" s="29" t="n">
        <v>72</v>
      </c>
      <c r="B79" s="46" t="inlineStr">
        <is>
          <t>CH4-13</t>
        </is>
      </c>
      <c r="C79" s="3" t="inlineStr">
        <is>
          <t>Sole Proprietorship / Partnership</t>
        </is>
      </c>
      <c r="D79" s="29" t="inlineStr">
        <is>
          <t>CH4</t>
        </is>
      </c>
      <c r="E79" s="50" t="inlineStr">
        <is>
          <t>RHB Support Email</t>
        </is>
      </c>
      <c r="F79" s="3" t="inlineStr">
        <is>
          <t>RHB Support email body — values and wording</t>
        </is>
      </c>
      <c r="G79" s="3" t="inlineStr">
        <is>
          <t>CH4-02 passed (Application Approved). Values from the run log (black window) block READY FOR MANUAL EMAIL CHECK and the expected-email file 04-runs/12341_CH4_&lt;run&gt;.md.</t>
        </is>
      </c>
      <c r="H79" s="3" t="inlineStr">
        <is>
          <t>1. Open the body.
2. Compare with sheet 'Expected Templates' → 'Email Template 3 — Body'.
3. Compare each value line with the Application.</t>
        </is>
      </c>
      <c r="I79" s="3" t="inlineStr">
        <is>
          <t>1. Every paragraph present, in order, same wording (1 working day request, Reply All instruction, signature block).
2. Company Name / Business Registration Number / UCD Contact Person / Contact Number / Email Address show the Application's values (which contact: Q-04).
3. Does NOT contain 'The above company is not eligible for RHB's online account-opening process…'.</t>
        </is>
      </c>
      <c r="J79" s="3" t="inlineStr">
        <is>
          <t>REQ-009</t>
        </is>
      </c>
      <c r="K79" s="29" t="inlineStr">
        <is>
          <t>High</t>
        </is>
      </c>
      <c r="L79" s="3" t="inlineStr">
        <is>
          <t>Functional</t>
        </is>
      </c>
      <c r="M79" s="3" t="inlineStr"/>
      <c r="N79" s="29" t="inlineStr">
        <is>
          <t>Not Run</t>
        </is>
      </c>
      <c r="O79" s="3" t="inlineStr"/>
      <c r="P79" s="47" t="inlineStr"/>
      <c r="Q79" s="3" t="inlineStr"/>
      <c r="R79" s="3" t="inlineStr"/>
      <c r="S79" s="3" t="inlineStr">
        <is>
          <t>The robot uses different name / mobile / email for Admin and Director, so this email shows which one the system takes (Q-04).</t>
        </is>
      </c>
    </row>
    <row r="80" ht="48" customHeight="1">
      <c r="A80" s="29" t="n">
        <v>73</v>
      </c>
      <c r="B80" s="46" t="inlineStr">
        <is>
          <t>CH4-14</t>
        </is>
      </c>
      <c r="C80" s="3" t="inlineStr">
        <is>
          <t>Sole Proprietorship / Partnership</t>
        </is>
      </c>
      <c r="D80" s="29" t="inlineStr">
        <is>
          <t>CH4</t>
        </is>
      </c>
      <c r="E80" s="50" t="inlineStr">
        <is>
          <t>RHB Support Email</t>
        </is>
      </c>
      <c r="F80" s="3" t="inlineStr">
        <is>
          <t>Appointment Letter attached to the RHB Support email</t>
        </is>
      </c>
      <c r="G80" s="3" t="inlineStr">
        <is>
          <t>CH4-02 passed (Application Approved). Values from the run log (black window) block READY FOR MANUAL EMAIL CHECK and the expected-email file 04-runs/12341_CH4_&lt;run&gt;.md.</t>
        </is>
      </c>
      <c r="H80" s="3" t="inlineStr">
        <is>
          <t>1. Open the Attachments tab.
2. Download and open the attachment.</t>
        </is>
      </c>
      <c r="I80" s="3" t="inlineStr">
        <is>
          <t>1. Exactly one attachment: the Appointment Letter for THIS Application.
2. It opens without error.</t>
        </is>
      </c>
      <c r="J80" s="3" t="inlineStr">
        <is>
          <t>REQ-008</t>
        </is>
      </c>
      <c r="K80" s="29" t="inlineStr">
        <is>
          <t>High</t>
        </is>
      </c>
      <c r="L80" s="3" t="inlineStr">
        <is>
          <t>Functional</t>
        </is>
      </c>
      <c r="M80" s="3" t="inlineStr"/>
      <c r="N80" s="29" t="inlineStr">
        <is>
          <t>Not Run</t>
        </is>
      </c>
      <c r="O80" s="3" t="inlineStr"/>
      <c r="P80" s="47" t="inlineStr"/>
      <c r="Q80" s="3" t="inlineStr"/>
      <c r="R80" s="3" t="inlineStr"/>
      <c r="S80" s="3" t="inlineStr"/>
    </row>
    <row r="81" ht="196" customHeight="1">
      <c r="A81" s="29" t="n">
        <v>74</v>
      </c>
      <c r="B81" s="46" t="inlineStr">
        <is>
          <t>CH4-15</t>
        </is>
      </c>
      <c r="C81" s="3" t="inlineStr">
        <is>
          <t>Sole Proprietorship / Partnership</t>
        </is>
      </c>
      <c r="D81" s="29" t="inlineStr">
        <is>
          <t>CH4</t>
        </is>
      </c>
      <c r="E81" s="51" t="inlineStr">
        <is>
          <t>Appointment Letter</t>
        </is>
      </c>
      <c r="F81" s="3" t="inlineStr">
        <is>
          <t>Appointment Letter layout and fixed text</t>
        </is>
      </c>
      <c r="G81" s="3" t="inlineStr">
        <is>
          <t>CH4-02 passed (Application Approved). Values from the run log (black window) block READY FOR MANUAL EMAIL CHECK and the expected-email file 04-runs/12341_CH4_&lt;run&gt;.md.</t>
        </is>
      </c>
      <c r="H81" s="3" t="inlineStr">
        <is>
          <t>1. Open the letter from the guideline email.
2. Compare with sheet 'Expected Templates' → 'Appointment Letter' and with Sample_Appointment_Letter_v2.0.
3. Check header, body, signature and footer on every page.</t>
        </is>
      </c>
      <c r="I81" s="3" t="inlineStr">
        <is>
          <t>1. Title 'LETTER OF CONFIRMATION OF REGISTRATION AS A USED CAR DEALER (UCD) UNDER eAUTO SDN. BHD. PLATFORM' (spacing: Q-10).
2. Letterhead: eAuto logo, 'eAuto Sdn Bhd 200401038456 (676967-T)', address, 'Tel: 03-2779 8893'.
3. Clauses 1–8 numbered, wording as the template; Clause 6 refers to 'Clause 5'.
4. Registration details table (UCD Name / Company Registration No. / UCD / Dealer Reference No.).
5. Signature image, 'CHIA KET MING', 'COO'; footer 'Website: www.eauto.my | Customer Service: 03-2779 8899 | Email: support@eauto.my'.
6. No layout break (cut text, overlap, blank page).</t>
        </is>
      </c>
      <c r="J81" s="3" t="inlineStr">
        <is>
          <t>REQ-007</t>
        </is>
      </c>
      <c r="K81" s="29" t="inlineStr">
        <is>
          <t>Medium</t>
        </is>
      </c>
      <c r="L81" s="3" t="inlineStr">
        <is>
          <t>Functional</t>
        </is>
      </c>
      <c r="M81" s="3" t="inlineStr"/>
      <c r="N81" s="29" t="inlineStr">
        <is>
          <t>Not Run</t>
        </is>
      </c>
      <c r="O81" s="3" t="inlineStr"/>
      <c r="P81" s="47" t="inlineStr"/>
      <c r="Q81" s="3" t="inlineStr"/>
      <c r="R81" s="3" t="inlineStr"/>
      <c r="S81" s="3" t="inlineStr"/>
    </row>
    <row r="82" ht="182" customHeight="1">
      <c r="A82" s="29" t="n">
        <v>75</v>
      </c>
      <c r="B82" s="46" t="inlineStr">
        <is>
          <t>CH4-16</t>
        </is>
      </c>
      <c r="C82" s="3" t="inlineStr">
        <is>
          <t>Sole Proprietorship / Partnership</t>
        </is>
      </c>
      <c r="D82" s="29" t="inlineStr">
        <is>
          <t>CH4</t>
        </is>
      </c>
      <c r="E82" s="51" t="inlineStr">
        <is>
          <t>Appointment Letter</t>
        </is>
      </c>
      <c r="F82" s="3" t="inlineStr">
        <is>
          <t>Appointment Letter pre-filled values</t>
        </is>
      </c>
      <c r="G82" s="3" t="inlineStr">
        <is>
          <t>CH4-02 passed (Application Approved). Values from the run log (black window) block READY FOR MANUAL EMAIL CHECK and the expected-email file 04-runs/12341_CH4_&lt;run&gt;.md. SSM details from CH4-03.</t>
        </is>
      </c>
      <c r="H82" s="3" t="inlineStr">
        <is>
          <t>1. Open the letter.
2. Compare each value with its source (run log, Application, Pre-Application SSM details).</t>
        </is>
      </c>
      <c r="I82" s="3" t="inlineStr">
        <is>
          <t>1. Date = Application approval date, DD/MM/YYYY.
2. Our Ref = eAuto/OPS/UCD/&lt;Application No&gt;/&lt;approval year&gt; (square brackets: Q-07).
3. UCD Company Name = the Application's company name (recipient block, Clause 1, Clause 4).
4. Company Registration No. = &lt;ROB no. with letter&gt; (&lt;12-digit no.&gt;), e.g. 003123456-X (202103123456) — identical in recipient block, Clause 1 and Clause 4.
5. Company Address = the Application's company address (which field: Q-06).
6. UCD / Dealer Reference No. = '&lt;Pre-Application No&gt; / &lt;Application No&gt;'.</t>
        </is>
      </c>
      <c r="J82" s="3" t="inlineStr">
        <is>
          <t>REQ-007</t>
        </is>
      </c>
      <c r="K82" s="29" t="inlineStr">
        <is>
          <t>High</t>
        </is>
      </c>
      <c r="L82" s="3" t="inlineStr">
        <is>
          <t>Functional</t>
        </is>
      </c>
      <c r="M82" s="3" t="inlineStr"/>
      <c r="N82" s="29" t="inlineStr">
        <is>
          <t>Not Run</t>
        </is>
      </c>
      <c r="O82" s="3" t="inlineStr"/>
      <c r="P82" s="47" t="inlineStr"/>
      <c r="Q82" s="3" t="inlineStr"/>
      <c r="R82" s="3" t="inlineStr"/>
      <c r="S82" s="3" t="inlineStr"/>
    </row>
    <row r="83" ht="48" customHeight="1">
      <c r="A83" s="29" t="n">
        <v>76</v>
      </c>
      <c r="B83" s="46" t="inlineStr">
        <is>
          <t>CH4-17</t>
        </is>
      </c>
      <c r="C83" s="3" t="inlineStr">
        <is>
          <t>Sole Proprietorship / Partnership</t>
        </is>
      </c>
      <c r="D83" s="29" t="inlineStr">
        <is>
          <t>CH4</t>
        </is>
      </c>
      <c r="E83" s="51" t="inlineStr">
        <is>
          <t>Appointment Letter</t>
        </is>
      </c>
      <c r="F83" s="3" t="inlineStr">
        <is>
          <t>Same Appointment Letter on both emails</t>
        </is>
      </c>
      <c r="G83" s="3" t="inlineStr">
        <is>
          <t>CH4-02 passed (Application Approved). Values from the run log (black window) block READY FOR MANUAL EMAIL CHECK and the expected-email file 04-runs/12341_CH4_&lt;run&gt;.md.</t>
        </is>
      </c>
      <c r="H83" s="3" t="inlineStr">
        <is>
          <t>1. Download the attachment of the guideline email and of the RHB Support email.
2. Compare them.</t>
        </is>
      </c>
      <c r="I83" s="3" t="inlineStr">
        <is>
          <t>1. Same file name and size.
2. Same Our Ref, date, company, registration number and reference numbers.</t>
        </is>
      </c>
      <c r="J83" s="3" t="inlineStr">
        <is>
          <t>REQ-008</t>
        </is>
      </c>
      <c r="K83" s="29" t="inlineStr">
        <is>
          <t>Medium</t>
        </is>
      </c>
      <c r="L83" s="3" t="inlineStr">
        <is>
          <t>Functional</t>
        </is>
      </c>
      <c r="M83" s="3" t="inlineStr"/>
      <c r="N83" s="29" t="inlineStr">
        <is>
          <t>Not Run</t>
        </is>
      </c>
      <c r="O83" s="3" t="inlineStr"/>
      <c r="P83" s="47" t="inlineStr"/>
      <c r="Q83" s="3" t="inlineStr"/>
      <c r="R83" s="3" t="inlineStr"/>
      <c r="S83" s="3" t="inlineStr"/>
    </row>
    <row r="84" ht="98" customHeight="1">
      <c r="A84" s="29" t="n">
        <v>77</v>
      </c>
      <c r="B84" s="46" t="inlineStr">
        <is>
          <t>CH4-18</t>
        </is>
      </c>
      <c r="C84" s="3" t="inlineStr">
        <is>
          <t>Sole Proprietorship / Partnership</t>
        </is>
      </c>
      <c r="D84" s="29" t="inlineStr">
        <is>
          <t>CH4</t>
        </is>
      </c>
      <c r="E84" s="48" t="inlineStr">
        <is>
          <t>Negative &amp; Regression</t>
        </is>
      </c>
      <c r="F84" s="3" t="inlineStr">
        <is>
          <t>No unresolved placeholders anywhere</t>
        </is>
      </c>
      <c r="G84" s="3" t="inlineStr">
        <is>
          <t>CH4-02 passed (Application Approved). Values from the run log (black window) block READY FOR MANUAL EMAIL CHECK and the expected-email file 04-runs/12341_CH4_&lt;run&gt;.md.</t>
        </is>
      </c>
      <c r="H84" s="3" t="inlineStr">
        <is>
          <t>1. In both emails, search the subject and body for '[' and ']'.
2. In the letter, search for '[' and ']'.</t>
        </is>
      </c>
      <c r="I84" s="3" t="inlineStr">
        <is>
          <t>1. None of these appear literally: [Application No], [Company Name], [BRN Number], [Name], [Contact Number], [UCD Email Address], [RHB Online Registration Link], [Application Link], [DD/MM/YYYY], [YYYY], [UCD Company Name], [Old BRN], [New BRN], [Company Address], [Pre-Application No].
2. No empty value (e.g. 'Company Name: ' with nothing after it).</t>
        </is>
      </c>
      <c r="J84" s="3" t="inlineStr">
        <is>
          <t>REQ-005, REQ-007, REQ-009</t>
        </is>
      </c>
      <c r="K84" s="29" t="inlineStr">
        <is>
          <t>High</t>
        </is>
      </c>
      <c r="L84" s="3" t="inlineStr">
        <is>
          <t>Negative</t>
        </is>
      </c>
      <c r="M84" s="3" t="inlineStr"/>
      <c r="N84" s="29" t="inlineStr">
        <is>
          <t>Not Run</t>
        </is>
      </c>
      <c r="O84" s="3" t="inlineStr"/>
      <c r="P84" s="47" t="inlineStr"/>
      <c r="Q84" s="3" t="inlineStr"/>
      <c r="R84" s="3" t="inlineStr"/>
      <c r="S84" s="3" t="inlineStr">
        <is>
          <t>Brackets kept around a filled value in the letter are Q-07, not a failure here.</t>
        </is>
      </c>
    </row>
    <row r="85" ht="48" customHeight="1">
      <c r="A85" s="29" t="n">
        <v>78</v>
      </c>
      <c r="B85" s="46" t="inlineStr">
        <is>
          <t>CH4-19</t>
        </is>
      </c>
      <c r="C85" s="3" t="inlineStr">
        <is>
          <t>Sole Proprietorship / Partnership</t>
        </is>
      </c>
      <c r="D85" s="29" t="inlineStr">
        <is>
          <t>CH4</t>
        </is>
      </c>
      <c r="E85" s="48" t="inlineStr">
        <is>
          <t>Negative &amp; Regression</t>
        </is>
      </c>
      <c r="F85" s="3" t="inlineStr">
        <is>
          <t>Exactly one of each email per approval (no duplicates)</t>
        </is>
      </c>
      <c r="G85" s="3" t="inlineStr">
        <is>
          <t>CH4-02 passed (Application Approved). Values from the run log (black window) block READY FOR MANUAL EMAIL CHECK and the expected-email file 04-runs/12341_CH4_&lt;run&gt;.md.</t>
        </is>
      </c>
      <c r="H85" s="3" t="inlineStr">
        <is>
          <t>1. Wait 10 minutes after the 'approved' time (Q-16).
2. In Mailtrap, count the emails for this Application by subject.</t>
        </is>
      </c>
      <c r="I85" s="3" t="inlineStr">
        <is>
          <t>1. Exactly 1 × 'RHB Online / Branch Account Opening - …'.
2. Exactly 1 × 'Approved eAuto Registration - …'.</t>
        </is>
      </c>
      <c r="J85" s="3" t="inlineStr">
        <is>
          <t>REQ-001</t>
        </is>
      </c>
      <c r="K85" s="29" t="inlineStr">
        <is>
          <t>Medium</t>
        </is>
      </c>
      <c r="L85" s="3" t="inlineStr">
        <is>
          <t>Negative</t>
        </is>
      </c>
      <c r="M85" s="3" t="inlineStr"/>
      <c r="N85" s="29" t="inlineStr">
        <is>
          <t>Not Run</t>
        </is>
      </c>
      <c r="O85" s="3" t="inlineStr"/>
      <c r="P85" s="47" t="inlineStr"/>
      <c r="Q85" s="3" t="inlineStr"/>
      <c r="R85" s="3" t="inlineStr"/>
      <c r="S85" s="3" t="inlineStr"/>
    </row>
    <row r="86" ht="18" customHeight="1">
      <c r="A86" s="54" t="inlineStr">
        <is>
          <t>Run CH5  ·  4 business owners, all Malaysian  ·  TIN starts with D (or IG)  ·  Stops at Submitted — no-email checks, then a manual Revert to UCD.</t>
        </is>
      </c>
      <c r="P86" s="52" t="n"/>
    </row>
    <row r="87" ht="126" customHeight="1">
      <c r="A87" s="29" t="n">
        <v>79</v>
      </c>
      <c r="B87" s="46" t="inlineStr">
        <is>
          <t>CH5-01</t>
        </is>
      </c>
      <c r="C87" s="3" t="inlineStr">
        <is>
          <t>Sole Proprietorship / Partnership</t>
        </is>
      </c>
      <c r="D87" s="29" t="inlineStr">
        <is>
          <t>CH5</t>
        </is>
      </c>
      <c r="E87" s="36" t="inlineStr">
        <is>
          <t>Setup &amp; Flow</t>
        </is>
      </c>
      <c r="F87" s="3" t="inlineStr">
        <is>
          <t>eSim set up for CH5 — Sole Proprietorship / Partnership, 4 business owners, all Malaysian</t>
        </is>
      </c>
      <c r="G87" s="3" t="inlineStr">
        <is>
          <t>A PASS company from the checker sheet (TIN starts with D (or IG)) typed in tab '1 Companies'. VPN on.</t>
        </is>
      </c>
      <c r="H87" s="3" t="inlineStr">
        <is>
          <t>1. Log in to eSim: https://172.30.202.114:9089/esim/login.
2. Open tab 'CH5' of EAINT-12341_eSim_Setup.xlsx.
3. Screen 'Ssm Enquiry Resp': type every value of Part A, then Save.
4. Submission screen: type every value of Part B (including the tags and the people), then Save.
5. Screenshot both saved records.</t>
        </is>
      </c>
      <c r="I87" s="3" t="inlineStr">
        <is>
          <t>1. Ssm Enquiry Resp saved with Response Code 004, the ROC without its letter, the 12-digit number, Delay 0.
2. Submission record saved with Response Code 005, status ACTIVE/EXISTING and exactly 4 business owners.
3. No error message on save.</t>
        </is>
      </c>
      <c r="J87" s="3" t="inlineStr">
        <is>
          <t>Test data (eSimulator guide)</t>
        </is>
      </c>
      <c r="K87" s="29" t="inlineStr">
        <is>
          <t>High</t>
        </is>
      </c>
      <c r="L87" s="3" t="inlineStr">
        <is>
          <t>Setup</t>
        </is>
      </c>
      <c r="M87" s="3" t="inlineStr"/>
      <c r="N87" s="29" t="inlineStr">
        <is>
          <t>Not Run</t>
        </is>
      </c>
      <c r="O87" s="3" t="inlineStr"/>
      <c r="P87" s="47" t="inlineStr"/>
      <c r="Q87" s="3" t="inlineStr"/>
      <c r="R87" s="3" t="inlineStr"/>
      <c r="S87" s="3" t="inlineStr"/>
    </row>
    <row r="88" ht="126" customHeight="1">
      <c r="A88" s="29" t="n">
        <v>80</v>
      </c>
      <c r="B88" s="46" t="inlineStr">
        <is>
          <t>CH5-02</t>
        </is>
      </c>
      <c r="C88" s="3" t="inlineStr">
        <is>
          <t>Sole Proprietorship / Partnership</t>
        </is>
      </c>
      <c r="D88" s="29" t="inlineStr">
        <is>
          <t>CH5</t>
        </is>
      </c>
      <c r="E88" s="36" t="inlineStr">
        <is>
          <t>Setup &amp; Flow</t>
        </is>
      </c>
      <c r="F88" s="3" t="inlineStr">
        <is>
          <t>Robot runs CH5 to Application Submitted</t>
        </is>
      </c>
      <c r="G88" s="3" t="inlineStr">
        <is>
          <t>CH5-01 passed. VPN on. Settings file filled. Mailtrap open.</t>
        </is>
      </c>
      <c r="H88" s="3" t="inlineStr">
        <is>
          <t>1. In the automation folder run: npm run ch5.
2. Tick 'I'm not a robot' when the window asks.
3. Pay in the payment window when the window asks.
4. Do not click anything else; wait for the end of the run.
5. Copy the black-window text and keep it with the evidence.</t>
        </is>
      </c>
      <c r="I88" s="3" t="inlineStr">
        <is>
          <t>1. The Pre-Application is created, paid and approved (Pre-Application No P……/….. printed).
2. The Application is submitted (the run stops here by design).
3. The window shows 'READY FOR MANUAL EMAIL CHECK' — stopped at Application Submitted.
4. An expected-email file is created in 04-runs/.</t>
        </is>
      </c>
      <c r="J88" s="3" t="inlineStr">
        <is>
          <t>REQ-001 (trigger)</t>
        </is>
      </c>
      <c r="K88" s="29" t="inlineStr">
        <is>
          <t>High</t>
        </is>
      </c>
      <c r="L88" s="3" t="inlineStr">
        <is>
          <t>E2E flow (automation)</t>
        </is>
      </c>
      <c r="M88" s="3" t="inlineStr"/>
      <c r="N88" s="29" t="inlineStr">
        <is>
          <t>Not Run</t>
        </is>
      </c>
      <c r="O88" s="3" t="inlineStr"/>
      <c r="P88" s="47" t="inlineStr"/>
      <c r="Q88" s="3" t="inlineStr"/>
      <c r="R88" s="3" t="inlineStr"/>
      <c r="S88" s="3" t="inlineStr"/>
    </row>
    <row r="89" ht="98" customHeight="1">
      <c r="A89" s="29" t="n">
        <v>81</v>
      </c>
      <c r="B89" s="46" t="inlineStr">
        <is>
          <t>CH5-03</t>
        </is>
      </c>
      <c r="C89" s="3" t="inlineStr">
        <is>
          <t>Sole Proprietorship / Partnership</t>
        </is>
      </c>
      <c r="D89" s="29" t="inlineStr">
        <is>
          <t>CH5</t>
        </is>
      </c>
      <c r="E89" s="36" t="inlineStr">
        <is>
          <t>Setup &amp; Flow</t>
        </is>
      </c>
      <c r="F89" s="3" t="inlineStr">
        <is>
          <t>Pre-Application summary shows the SSM details set up in eSim</t>
        </is>
      </c>
      <c r="G89" s="3" t="inlineStr">
        <is>
          <t>CH5-02 reached at least Pre-Application approved.</t>
        </is>
      </c>
      <c r="H89" s="3" t="inlineStr">
        <is>
          <t>1. BackOffice &gt; Pre-Application listing: search the Pre-Application No.
2. Check the SSM Status column.
3. Open the record and its SSM details.</t>
        </is>
      </c>
      <c r="I89" s="3" t="inlineStr">
        <is>
          <t>1. SSM Status = OK.
2. Registration no. =  exactly as in tab '1 Companies' (letter not doubled, e.g. no '-U-A').
3. The people listed match the eSim setup (4 business owners, all Malaysian).
4. These are the values the Appointment Letter must use (old / new BRN).</t>
        </is>
      </c>
      <c r="J89" s="3" t="inlineStr">
        <is>
          <t>REQ-007 (letter data source)</t>
        </is>
      </c>
      <c r="K89" s="29" t="inlineStr">
        <is>
          <t>High</t>
        </is>
      </c>
      <c r="L89" s="3" t="inlineStr">
        <is>
          <t>Data</t>
        </is>
      </c>
      <c r="M89" s="3" t="inlineStr"/>
      <c r="N89" s="29" t="inlineStr">
        <is>
          <t>Not Run</t>
        </is>
      </c>
      <c r="O89" s="3" t="inlineStr"/>
      <c r="P89" s="47" t="inlineStr"/>
      <c r="Q89" s="3" t="inlineStr"/>
      <c r="R89" s="3" t="inlineStr"/>
      <c r="S89" s="3" t="inlineStr"/>
    </row>
    <row r="90" ht="84" customHeight="1">
      <c r="A90" s="29" t="n">
        <v>82</v>
      </c>
      <c r="B90" s="46" t="inlineStr">
        <is>
          <t>CH5-04</t>
        </is>
      </c>
      <c r="C90" s="3" t="inlineStr">
        <is>
          <t>Sole Proprietorship / Partnership</t>
        </is>
      </c>
      <c r="D90" s="29" t="inlineStr">
        <is>
          <t>CH5</t>
        </is>
      </c>
      <c r="E90" s="48" t="inlineStr">
        <is>
          <t>Negative &amp; Regression</t>
        </is>
      </c>
      <c r="F90" s="3" t="inlineStr">
        <is>
          <t>Pre-Application approval does NOT send the new emails</t>
        </is>
      </c>
      <c r="G90" s="3" t="inlineStr">
        <is>
          <t>CH5-02 reached at least Pre-Application approved.</t>
        </is>
      </c>
      <c r="H90" s="3" t="inlineStr">
        <is>
          <t>1. Take the 'pre-app approved' and 'approved' (or 'submitted') times from the run log.
2. In Mailtrap, list all emails to the run's admin and director email addresses between those two times.</t>
        </is>
      </c>
      <c r="I90" s="3" t="inlineStr">
        <is>
          <t>1. No 'RHB Online / Branch Account Opening' email in that window.
2. No 'Approved eAuto Registration' email in that window.
3. The existing Pre-Application approval email (with the Application link) still arrives as before.</t>
        </is>
      </c>
      <c r="J90" s="3" t="inlineStr">
        <is>
          <t>REQ-001</t>
        </is>
      </c>
      <c r="K90" s="29" t="inlineStr">
        <is>
          <t>Medium</t>
        </is>
      </c>
      <c r="L90" s="3" t="inlineStr">
        <is>
          <t>Negative</t>
        </is>
      </c>
      <c r="M90" s="3" t="inlineStr"/>
      <c r="N90" s="29" t="inlineStr">
        <is>
          <t>Not Run</t>
        </is>
      </c>
      <c r="O90" s="3" t="inlineStr"/>
      <c r="P90" s="47" t="inlineStr"/>
      <c r="Q90" s="3" t="inlineStr"/>
      <c r="R90" s="3" t="inlineStr"/>
      <c r="S90" s="3" t="inlineStr"/>
    </row>
    <row r="91" ht="70" customHeight="1">
      <c r="A91" s="29" t="n">
        <v>83</v>
      </c>
      <c r="B91" s="46" t="inlineStr">
        <is>
          <t>CH5-05</t>
        </is>
      </c>
      <c r="C91" s="3" t="inlineStr">
        <is>
          <t>Sole Proprietorship / Partnership</t>
        </is>
      </c>
      <c r="D91" s="29" t="inlineStr">
        <is>
          <t>CH5</t>
        </is>
      </c>
      <c r="E91" s="48" t="inlineStr">
        <is>
          <t>Negative &amp; Regression</t>
        </is>
      </c>
      <c r="F91" s="3" t="inlineStr">
        <is>
          <t>No new email while the Application is at Submitted</t>
        </is>
      </c>
      <c r="G91" s="3" t="inlineStr">
        <is>
          <t>CH5-02 passed (Application Submitted).</t>
        </is>
      </c>
      <c r="H91" s="3" t="inlineStr">
        <is>
          <t>1. Note the 'submitted' time from the run log.
2. Wait 10 minutes (quiet window, Q-16).
3. In Mailtrap, list emails to the run's admin and director addresses after that time.</t>
        </is>
      </c>
      <c r="I91" s="3" t="inlineStr">
        <is>
          <t>1. No 'RHB Online / Branch Account Opening' email.
2. No 'Approved eAuto Registration' email.</t>
        </is>
      </c>
      <c r="J91" s="3" t="inlineStr">
        <is>
          <t>REQ-001</t>
        </is>
      </c>
      <c r="K91" s="29" t="inlineStr">
        <is>
          <t>High</t>
        </is>
      </c>
      <c r="L91" s="3" t="inlineStr">
        <is>
          <t>Negative</t>
        </is>
      </c>
      <c r="M91" s="3" t="inlineStr"/>
      <c r="N91" s="29" t="inlineStr">
        <is>
          <t>Not Run</t>
        </is>
      </c>
      <c r="O91" s="3" t="inlineStr"/>
      <c r="P91" s="47" t="inlineStr"/>
      <c r="Q91" s="3" t="inlineStr"/>
      <c r="R91" s="3" t="inlineStr"/>
      <c r="S91" s="3" t="inlineStr"/>
    </row>
    <row r="92" ht="98" customHeight="1">
      <c r="A92" s="29" t="n">
        <v>84</v>
      </c>
      <c r="B92" s="46" t="inlineStr">
        <is>
          <t>CH5-06</t>
        </is>
      </c>
      <c r="C92" s="3" t="inlineStr">
        <is>
          <t>Sole Proprietorship / Partnership</t>
        </is>
      </c>
      <c r="D92" s="29" t="inlineStr">
        <is>
          <t>CH5</t>
        </is>
      </c>
      <c r="E92" s="48" t="inlineStr">
        <is>
          <t>Negative &amp; Regression</t>
        </is>
      </c>
      <c r="F92" s="3" t="inlineStr">
        <is>
          <t>No new email after Revert to UCD</t>
        </is>
      </c>
      <c r="G92" s="3" t="inlineStr">
        <is>
          <t>CH5-03 passed.</t>
        </is>
      </c>
      <c r="H92" s="3" t="inlineStr">
        <is>
          <t>1. BackOffice &gt; Application listing: open the run's Application.
2. Revert it to UCD (role / button per Q-15). Note the time.
3. Wait 10 minutes.
4. In Mailtrap, list emails to the run's addresses after the revert.</t>
        </is>
      </c>
      <c r="I92" s="3" t="inlineStr">
        <is>
          <t>1. The Application status changes to the reverted status as before.
2. No 'RHB Online / Branch Account Opening' email.
3. No 'Approved eAuto Registration' email.
4. Any existing revert notification is unchanged.</t>
        </is>
      </c>
      <c r="J92" s="3" t="inlineStr">
        <is>
          <t>REQ-001</t>
        </is>
      </c>
      <c r="K92" s="29" t="inlineStr">
        <is>
          <t>High</t>
        </is>
      </c>
      <c r="L92" s="3" t="inlineStr">
        <is>
          <t>Negative</t>
        </is>
      </c>
      <c r="M92" s="3" t="inlineStr"/>
      <c r="N92" s="29" t="inlineStr">
        <is>
          <t>Not Run</t>
        </is>
      </c>
      <c r="O92" s="3" t="inlineStr"/>
      <c r="P92" s="47" t="inlineStr"/>
      <c r="Q92" s="3" t="inlineStr"/>
      <c r="R92" s="3" t="inlineStr"/>
      <c r="S92" s="3" t="inlineStr"/>
    </row>
    <row r="93" ht="22" customHeight="1">
      <c r="A93" s="55" t="inlineStr">
        <is>
          <t>LLP   —   1 run(s)</t>
        </is>
      </c>
      <c r="P93" s="52" t="n"/>
    </row>
    <row r="94" ht="18" customHeight="1">
      <c r="A94" s="56" t="inlineStr">
        <is>
          <t>Run CH6  ·  4 partners, all Malaysian  ·  TIN starts with PT  ·  LLP is not in the eSimulator guide — confirm the eSim screen first.</t>
        </is>
      </c>
      <c r="P94" s="52" t="n"/>
    </row>
    <row r="95" ht="126" customHeight="1">
      <c r="A95" s="29" t="n">
        <v>85</v>
      </c>
      <c r="B95" s="46" t="inlineStr">
        <is>
          <t>CH6-01</t>
        </is>
      </c>
      <c r="C95" s="3" t="inlineStr">
        <is>
          <t>LLP</t>
        </is>
      </c>
      <c r="D95" s="29" t="inlineStr">
        <is>
          <t>CH6</t>
        </is>
      </c>
      <c r="E95" s="36" t="inlineStr">
        <is>
          <t>Setup &amp; Flow</t>
        </is>
      </c>
      <c r="F95" s="3" t="inlineStr">
        <is>
          <t>eSim set up for CH6 — LLP, 4 partners, all Malaysian</t>
        </is>
      </c>
      <c r="G95" s="3" t="inlineStr">
        <is>
          <t>A PASS company from the checker sheet (TIN starts with PT) typed in tab '1 Companies'. VPN on.</t>
        </is>
      </c>
      <c r="H95" s="3" t="inlineStr">
        <is>
          <t>1. Log in to eSim: https://172.30.202.114:9089/esim/login.
2. Open tab 'CH6' of EAINT-12341_eSim_Setup.xlsx.
3. Screen 'Ssm Enquiry Resp': type every value of Part A, then Save.
4. Submission screen: type every value of Part B (including the tags and the people), then Save.
5. Screenshot both saved records.</t>
        </is>
      </c>
      <c r="I95" s="3" t="inlineStr">
        <is>
          <t>1. Ssm Enquiry Resp saved with Response Code 004, the ROC without its letter, the 12-digit number, Delay 0.
2. Submission record saved with Response Code 005, status ACTIVE/EXISTING and exactly 4 partners.
3. No error message on save.</t>
        </is>
      </c>
      <c r="J95" s="3" t="inlineStr">
        <is>
          <t>Test data (eSimulator guide)</t>
        </is>
      </c>
      <c r="K95" s="29" t="inlineStr">
        <is>
          <t>High</t>
        </is>
      </c>
      <c r="L95" s="3" t="inlineStr">
        <is>
          <t>Setup</t>
        </is>
      </c>
      <c r="M95" s="3" t="inlineStr"/>
      <c r="N95" s="29" t="inlineStr">
        <is>
          <t>Not Run</t>
        </is>
      </c>
      <c r="O95" s="3" t="inlineStr"/>
      <c r="P95" s="47" t="inlineStr"/>
      <c r="Q95" s="3" t="inlineStr"/>
      <c r="R95" s="3" t="inlineStr"/>
      <c r="S95" s="3" t="inlineStr"/>
    </row>
    <row r="96" ht="126" customHeight="1">
      <c r="A96" s="29" t="n">
        <v>86</v>
      </c>
      <c r="B96" s="46" t="inlineStr">
        <is>
          <t>CH6-02</t>
        </is>
      </c>
      <c r="C96" s="3" t="inlineStr">
        <is>
          <t>LLP</t>
        </is>
      </c>
      <c r="D96" s="29" t="inlineStr">
        <is>
          <t>CH6</t>
        </is>
      </c>
      <c r="E96" s="36" t="inlineStr">
        <is>
          <t>Setup &amp; Flow</t>
        </is>
      </c>
      <c r="F96" s="3" t="inlineStr">
        <is>
          <t>Robot runs CH6 to Application Approved</t>
        </is>
      </c>
      <c r="G96" s="3" t="inlineStr">
        <is>
          <t>CH6-01 passed. VPN on. Settings file filled. Mailtrap open.</t>
        </is>
      </c>
      <c r="H96" s="3" t="inlineStr">
        <is>
          <t>1. In the automation folder run: npm run ch6.
2. Tick 'I'm not a robot' when the window asks.
3. Pay in the payment window when the window asks.
4. Do not click anything else; wait for the end of the run.
5. Copy the black-window text and keep it with the evidence.</t>
        </is>
      </c>
      <c r="I96" s="3" t="inlineStr">
        <is>
          <t>1. The Pre-Application is created, paid and approved (Pre-Application No P……/….. printed).
2. The Application is submitted and approved by the Approver (Application No NA…….. printed).
3. The window shows 'READY FOR MANUAL EMAIL CHECK' — stopped at Application Approved.
4. An expected-email file is created in 04-runs/.</t>
        </is>
      </c>
      <c r="J96" s="3" t="inlineStr">
        <is>
          <t>REQ-001 (trigger)</t>
        </is>
      </c>
      <c r="K96" s="29" t="inlineStr">
        <is>
          <t>High</t>
        </is>
      </c>
      <c r="L96" s="3" t="inlineStr">
        <is>
          <t>E2E flow (automation)</t>
        </is>
      </c>
      <c r="M96" s="3" t="inlineStr"/>
      <c r="N96" s="29" t="inlineStr">
        <is>
          <t>Not Run</t>
        </is>
      </c>
      <c r="O96" s="3" t="inlineStr"/>
      <c r="P96" s="47" t="inlineStr"/>
      <c r="Q96" s="3" t="inlineStr"/>
      <c r="R96" s="3" t="inlineStr"/>
      <c r="S96" s="3" t="inlineStr"/>
    </row>
    <row r="97" ht="112" customHeight="1">
      <c r="A97" s="29" t="n">
        <v>87</v>
      </c>
      <c r="B97" s="46" t="inlineStr">
        <is>
          <t>CH6-03</t>
        </is>
      </c>
      <c r="C97" s="3" t="inlineStr">
        <is>
          <t>LLP</t>
        </is>
      </c>
      <c r="D97" s="29" t="inlineStr">
        <is>
          <t>CH6</t>
        </is>
      </c>
      <c r="E97" s="36" t="inlineStr">
        <is>
          <t>Setup &amp; Flow</t>
        </is>
      </c>
      <c r="F97" s="3" t="inlineStr">
        <is>
          <t>Pre-Application summary shows the SSM details set up in eSim</t>
        </is>
      </c>
      <c r="G97" s="3" t="inlineStr">
        <is>
          <t>CH6-02 reached at least Pre-Application approved.</t>
        </is>
      </c>
      <c r="H97" s="3" t="inlineStr">
        <is>
          <t>1. BackOffice &gt; Pre-Application listing: search the Pre-Application No.
2. Check the SSM Status column.
3. Open the record and its SSM details.</t>
        </is>
      </c>
      <c r="I97" s="3" t="inlineStr">
        <is>
          <t>1. SSM Status = OK.
2. Registration no. = &lt;LLP no. incl. -LGN&gt; (&lt;12-digit no.&gt;) exactly as in tab '1 Companies' (letter not doubled, e.g. no '-U-A').
3. The people listed match the eSim setup (4 partners, all Malaysian).
4. These are the values the Appointment Letter must use (old / new BRN).</t>
        </is>
      </c>
      <c r="J97" s="3" t="inlineStr">
        <is>
          <t>REQ-007 (letter data source)</t>
        </is>
      </c>
      <c r="K97" s="29" t="inlineStr">
        <is>
          <t>High</t>
        </is>
      </c>
      <c r="L97" s="3" t="inlineStr">
        <is>
          <t>Data</t>
        </is>
      </c>
      <c r="M97" s="3" t="inlineStr"/>
      <c r="N97" s="29" t="inlineStr">
        <is>
          <t>Not Run</t>
        </is>
      </c>
      <c r="O97" s="3" t="inlineStr"/>
      <c r="P97" s="47" t="inlineStr"/>
      <c r="Q97" s="3" t="inlineStr"/>
      <c r="R97" s="3" t="inlineStr"/>
      <c r="S97" s="3" t="inlineStr"/>
    </row>
    <row r="98" ht="84" customHeight="1">
      <c r="A98" s="29" t="n">
        <v>88</v>
      </c>
      <c r="B98" s="46" t="inlineStr">
        <is>
          <t>CH6-04</t>
        </is>
      </c>
      <c r="C98" s="3" t="inlineStr">
        <is>
          <t>LLP</t>
        </is>
      </c>
      <c r="D98" s="29" t="inlineStr">
        <is>
          <t>CH6</t>
        </is>
      </c>
      <c r="E98" s="48" t="inlineStr">
        <is>
          <t>Negative &amp; Regression</t>
        </is>
      </c>
      <c r="F98" s="3" t="inlineStr">
        <is>
          <t>Pre-Application approval does NOT send the new emails</t>
        </is>
      </c>
      <c r="G98" s="3" t="inlineStr">
        <is>
          <t>CH6-02 reached at least Pre-Application approved.</t>
        </is>
      </c>
      <c r="H98" s="3" t="inlineStr">
        <is>
          <t>1. Take the 'pre-app approved' and 'approved' (or 'submitted') times from the run log.
2. In Mailtrap, list all emails to the run's admin and director email addresses between those two times.</t>
        </is>
      </c>
      <c r="I98" s="3" t="inlineStr">
        <is>
          <t>1. No 'RHB Online / Branch Account Opening' email in that window.
2. No 'Approved eAuto Registration' email in that window.
3. The existing Pre-Application approval email (with the Application link) still arrives as before.</t>
        </is>
      </c>
      <c r="J98" s="3" t="inlineStr">
        <is>
          <t>REQ-001</t>
        </is>
      </c>
      <c r="K98" s="29" t="inlineStr">
        <is>
          <t>Medium</t>
        </is>
      </c>
      <c r="L98" s="3" t="inlineStr">
        <is>
          <t>Negative</t>
        </is>
      </c>
      <c r="M98" s="3" t="inlineStr"/>
      <c r="N98" s="29" t="inlineStr">
        <is>
          <t>Not Run</t>
        </is>
      </c>
      <c r="O98" s="3" t="inlineStr"/>
      <c r="P98" s="47" t="inlineStr"/>
      <c r="Q98" s="3" t="inlineStr"/>
      <c r="R98" s="3" t="inlineStr"/>
      <c r="S98" s="3" t="inlineStr"/>
    </row>
    <row r="99" ht="98" customHeight="1">
      <c r="A99" s="29" t="n">
        <v>89</v>
      </c>
      <c r="B99" s="46" t="inlineStr">
        <is>
          <t>CH6-05</t>
        </is>
      </c>
      <c r="C99" s="3" t="inlineStr">
        <is>
          <t>LLP</t>
        </is>
      </c>
      <c r="D99" s="29" t="inlineStr">
        <is>
          <t>CH6</t>
        </is>
      </c>
      <c r="E99" s="49" t="inlineStr">
        <is>
          <t>Guideline Email (UCD)</t>
        </is>
      </c>
      <c r="F99" s="3" t="inlineStr">
        <is>
          <t>Guideline email is received by the UCD — To and CC</t>
        </is>
      </c>
      <c r="G99" s="3" t="inlineStr">
        <is>
          <t>CH6-02 passed (Application Approved). Values from the run log (black window) block READY FOR MANUAL EMAIL CHECK and the expected-email file 04-runs/12341_CH6_&lt;run&gt;.md.</t>
        </is>
      </c>
      <c r="H99" s="3" t="inlineStr">
        <is>
          <t>1. In Mailtrap, search the admin email and the director email from the run log.
2. Open the email whose subject starts 'RHB Online / Branch Account Opening'.
3. Open its headers (To, CC) and note the received time.</t>
        </is>
      </c>
      <c r="I99" s="3" t="inlineStr">
        <is>
          <t>1. Exactly one such email for this Application.
2. To = the UCD email recorded in the Application — record WHICH address it is (admin or director, Q-04).
3. CC = apply@eauto.my.
4. Received after the 'approved' time in the run log.</t>
        </is>
      </c>
      <c r="J99" s="3" t="inlineStr">
        <is>
          <t>REQ-001, REQ-002</t>
        </is>
      </c>
      <c r="K99" s="29" t="inlineStr">
        <is>
          <t>High</t>
        </is>
      </c>
      <c r="L99" s="3" t="inlineStr">
        <is>
          <t>Functional</t>
        </is>
      </c>
      <c r="M99" s="3" t="inlineStr"/>
      <c r="N99" s="29" t="inlineStr">
        <is>
          <t>Not Run</t>
        </is>
      </c>
      <c r="O99" s="3" t="inlineStr"/>
      <c r="P99" s="47" t="inlineStr"/>
      <c r="Q99" s="3" t="inlineStr"/>
      <c r="R99" s="3" t="inlineStr"/>
      <c r="S99" s="3" t="inlineStr">
        <is>
          <t>Sender (From) not checked — still pending Operations (Q-12).</t>
        </is>
      </c>
    </row>
    <row r="100" ht="84" customHeight="1">
      <c r="A100" s="29" t="n">
        <v>90</v>
      </c>
      <c r="B100" s="46" t="inlineStr">
        <is>
          <t>CH6-06</t>
        </is>
      </c>
      <c r="C100" s="3" t="inlineStr">
        <is>
          <t>LLP</t>
        </is>
      </c>
      <c r="D100" s="29" t="inlineStr">
        <is>
          <t>CH6</t>
        </is>
      </c>
      <c r="E100" s="49" t="inlineStr">
        <is>
          <t>Guideline Email (UCD)</t>
        </is>
      </c>
      <c r="F100" s="3" t="inlineStr">
        <is>
          <t>Guideline email subject</t>
        </is>
      </c>
      <c r="G100" s="3" t="inlineStr">
        <is>
          <t>CH6-02 passed (Application Approved). Values from the run log (black window) block READY FOR MANUAL EMAIL CHECK and the expected-email file 04-runs/12341_CH6_&lt;run&gt;.md.</t>
        </is>
      </c>
      <c r="H100" s="3" t="inlineStr">
        <is>
          <t>1. Open the guideline email.
2. Read the subject exactly as shown.</t>
        </is>
      </c>
      <c r="I100" s="3" t="inlineStr">
        <is>
          <t>1. Subject = 'RHB Online / Branch Account Opening - &lt;Application No&gt; - &lt;Company Name&gt;'.
2. &lt;Application No&gt; = the NA number in the run log; &lt;Company Name&gt; = the run's company name.
3. Not the old v1.1 subjects 'RHB Online Account Opening - …' or 'RHB Branch Account Opening - …'.</t>
        </is>
      </c>
      <c r="J100" s="3" t="inlineStr">
        <is>
          <t>REQ-005</t>
        </is>
      </c>
      <c r="K100" s="29" t="inlineStr">
        <is>
          <t>High</t>
        </is>
      </c>
      <c r="L100" s="3" t="inlineStr">
        <is>
          <t>Functional</t>
        </is>
      </c>
      <c r="M100" s="3" t="inlineStr"/>
      <c r="N100" s="29" t="inlineStr">
        <is>
          <t>Not Run</t>
        </is>
      </c>
      <c r="O100" s="3" t="inlineStr"/>
      <c r="P100" s="47" t="inlineStr"/>
      <c r="Q100" s="3" t="inlineStr"/>
      <c r="R100" s="3" t="inlineStr"/>
      <c r="S100" s="3" t="inlineStr"/>
    </row>
    <row r="101" ht="168" customHeight="1">
      <c r="A101" s="29" t="n">
        <v>91</v>
      </c>
      <c r="B101" s="46" t="inlineStr">
        <is>
          <t>CH6-07</t>
        </is>
      </c>
      <c r="C101" s="3" t="inlineStr">
        <is>
          <t>LLP</t>
        </is>
      </c>
      <c r="D101" s="29" t="inlineStr">
        <is>
          <t>CH6</t>
        </is>
      </c>
      <c r="E101" s="49" t="inlineStr">
        <is>
          <t>Guideline Email (UCD)</t>
        </is>
      </c>
      <c r="F101" s="3" t="inlineStr">
        <is>
          <t>Guideline email body — same combined template (online + branch options)</t>
        </is>
      </c>
      <c r="G101" s="3" t="inlineStr">
        <is>
          <t>CH6-02 passed (Application Approved). Values from the run log (black window) block READY FOR MANUAL EMAIL CHECK and the expected-email file 04-runs/12341_CH6_&lt;run&gt;.md.</t>
        </is>
      </c>
      <c r="H101" s="3" t="inlineStr">
        <is>
          <t>1. Open the email body (HTML view).
2. Compare paragraph by paragraph with sheet 'Expected Templates' → 'Email Template 1 — Body' (or the 04-runs file).
3. Check the Text view too if Mailtrap shows one.</t>
        </is>
      </c>
      <c r="I101" s="3" t="inlineStr">
        <is>
          <t>1. Every paragraph present, in order, same wording.
2. Application No and Company Name show the run's values.
3. Contains 'within three (3) working days', 'Option 1 – Online Account Opening' (with the four (4) users note and seven (7) days) and 'Option 2 – Account Opening at RHB Branch'.
4. Ends with the signature block (Thank you / Best regards / eAuto Sdn Bhd / address / Customer Service / WhatsApp) — Q-01.
5. Does NOT contain 'As your company meets the eligibility requirements…' nor 'Please bring the documents provided by RHB…'.</t>
        </is>
      </c>
      <c r="J101" s="3" t="inlineStr">
        <is>
          <t>REQ-005</t>
        </is>
      </c>
      <c r="K101" s="29" t="inlineStr">
        <is>
          <t>High</t>
        </is>
      </c>
      <c r="L101" s="3" t="inlineStr">
        <is>
          <t>Functional</t>
        </is>
      </c>
      <c r="M101" s="3" t="inlineStr"/>
      <c r="N101" s="29" t="inlineStr">
        <is>
          <t>Not Run</t>
        </is>
      </c>
      <c r="O101" s="3" t="inlineStr"/>
      <c r="P101" s="47" t="inlineStr"/>
      <c r="Q101" s="3" t="inlineStr"/>
      <c r="R101" s="3" t="inlineStr"/>
      <c r="S101" s="3" t="inlineStr">
        <is>
          <t>Same expected text for every business type — REQ-005 Example 1 and Example 2 both send Email Template 1. LLP is not in the eSimulator guide — confirm the eSim screen first.</t>
        </is>
      </c>
    </row>
    <row r="102" ht="56" customHeight="1">
      <c r="A102" s="29" t="n">
        <v>92</v>
      </c>
      <c r="B102" s="46" t="inlineStr">
        <is>
          <t>CH6-08</t>
        </is>
      </c>
      <c r="C102" s="3" t="inlineStr">
        <is>
          <t>LLP</t>
        </is>
      </c>
      <c r="D102" s="29" t="inlineStr">
        <is>
          <t>CH6</t>
        </is>
      </c>
      <c r="E102" s="49" t="inlineStr">
        <is>
          <t>Guideline Email (UCD)</t>
        </is>
      </c>
      <c r="F102" s="3" t="inlineStr">
        <is>
          <t>Links in the guideline email</t>
        </is>
      </c>
      <c r="G102" s="3" t="inlineStr">
        <is>
          <t>CH6-02 passed (Application Approved). Values from the run log (black window) block READY FOR MANUAL EMAIL CHECK and the expected-email file 04-runs/12341_CH6_&lt;run&gt;.md.</t>
        </is>
      </c>
      <c r="H102" s="3" t="inlineStr">
        <is>
          <t>1. Hover over the link under 'Option 1 – Online Account Opening' and note the target.
2. Hover over the Application Link near the end.</t>
        </is>
      </c>
      <c r="I102" s="3" t="inlineStr">
        <is>
          <t>1. Option 1 link target = https://smecaonline.rhbgroup.com/sme/online?tag=campaign.
2. The Application Link is a clickable URL, not the text '[Application Link]'.</t>
        </is>
      </c>
      <c r="J102" s="3" t="inlineStr">
        <is>
          <t>REQ-005</t>
        </is>
      </c>
      <c r="K102" s="29" t="inlineStr">
        <is>
          <t>Medium</t>
        </is>
      </c>
      <c r="L102" s="3" t="inlineStr">
        <is>
          <t>Functional</t>
        </is>
      </c>
      <c r="M102" s="3" t="inlineStr"/>
      <c r="N102" s="29" t="inlineStr">
        <is>
          <t>Not Run</t>
        </is>
      </c>
      <c r="O102" s="3" t="inlineStr"/>
      <c r="P102" s="47" t="inlineStr"/>
      <c r="Q102" s="3" t="inlineStr"/>
      <c r="R102" s="3" t="inlineStr"/>
      <c r="S102" s="3" t="inlineStr">
        <is>
          <t>Where the Application Link must land is not in the SRD (Q-03).</t>
        </is>
      </c>
    </row>
    <row r="103" ht="98" customHeight="1">
      <c r="A103" s="29" t="n">
        <v>93</v>
      </c>
      <c r="B103" s="46" t="inlineStr">
        <is>
          <t>CH6-09</t>
        </is>
      </c>
      <c r="C103" s="3" t="inlineStr">
        <is>
          <t>LLP</t>
        </is>
      </c>
      <c r="D103" s="29" t="inlineStr">
        <is>
          <t>CH6</t>
        </is>
      </c>
      <c r="E103" s="49" t="inlineStr">
        <is>
          <t>Guideline Email (UCD)</t>
        </is>
      </c>
      <c r="F103" s="3" t="inlineStr">
        <is>
          <t>Appointment Letter attached to the guideline email</t>
        </is>
      </c>
      <c r="G103" s="3" t="inlineStr">
        <is>
          <t>CH6-02 passed (Application Approved). Values from the run log (black window) block READY FOR MANUAL EMAIL CHECK and the expected-email file 04-runs/12341_CH6_&lt;run&gt;.md.</t>
        </is>
      </c>
      <c r="H103" s="3" t="inlineStr">
        <is>
          <t>1. Open the Attachments tab of the guideline email.
2. Note file name, type and size.
3. Download and open it.</t>
        </is>
      </c>
      <c r="I103" s="3" t="inlineStr">
        <is>
          <t>1. Exactly one attachment: the Appointment Letter.
2. It opens without error.
3. It is for THIS Application (company name and Application No match).
4. No Offer Letter, Direct Debit form or Board of Resolution attached.</t>
        </is>
      </c>
      <c r="J103" s="3" t="inlineStr">
        <is>
          <t>REQ-008</t>
        </is>
      </c>
      <c r="K103" s="29" t="inlineStr">
        <is>
          <t>High</t>
        </is>
      </c>
      <c r="L103" s="3" t="inlineStr">
        <is>
          <t>Functional</t>
        </is>
      </c>
      <c r="M103" s="3" t="inlineStr"/>
      <c r="N103" s="29" t="inlineStr">
        <is>
          <t>Not Run</t>
        </is>
      </c>
      <c r="O103" s="3" t="inlineStr"/>
      <c r="P103" s="47" t="inlineStr"/>
      <c r="Q103" s="3" t="inlineStr"/>
      <c r="R103" s="3" t="inlineStr"/>
      <c r="S103" s="3" t="inlineStr">
        <is>
          <t>File type and name not specified (Q-08) — record them.</t>
        </is>
      </c>
    </row>
    <row r="104" ht="56" customHeight="1">
      <c r="A104" s="29" t="n">
        <v>94</v>
      </c>
      <c r="B104" s="46" t="inlineStr">
        <is>
          <t>CH6-10</t>
        </is>
      </c>
      <c r="C104" s="3" t="inlineStr">
        <is>
          <t>LLP</t>
        </is>
      </c>
      <c r="D104" s="29" t="inlineStr">
        <is>
          <t>CH6</t>
        </is>
      </c>
      <c r="E104" s="49" t="inlineStr">
        <is>
          <t>Guideline Email (UCD)</t>
        </is>
      </c>
      <c r="F104" s="3" t="inlineStr">
        <is>
          <t>Removed templates are not sent</t>
        </is>
      </c>
      <c r="G104" s="3" t="inlineStr">
        <is>
          <t>CH6-02 passed (Application Approved). Values from the run log (black window) block READY FOR MANUAL EMAIL CHECK and the expected-email file 04-runs/12341_CH6_&lt;run&gt;.md.</t>
        </is>
      </c>
      <c r="H104" s="3" t="inlineStr">
        <is>
          <t>1. In Mailtrap, list every email to the run's addresses after the 'approved' time.</t>
        </is>
      </c>
      <c r="I104" s="3" t="inlineStr">
        <is>
          <t>1. No email with subject 'RHB Branch Account Opening - …' (old Email Template 2).
2. No email with subject 'RHB Online Account Opening - …' without '/ Branch' (old Email Template 1).</t>
        </is>
      </c>
      <c r="J104" s="3" t="inlineStr">
        <is>
          <t>REQ-003 / REQ-004 removed, REQ-005</t>
        </is>
      </c>
      <c r="K104" s="29" t="inlineStr">
        <is>
          <t>Medium</t>
        </is>
      </c>
      <c r="L104" s="3" t="inlineStr">
        <is>
          <t>Negative</t>
        </is>
      </c>
      <c r="M104" s="3" t="inlineStr"/>
      <c r="N104" s="29" t="inlineStr">
        <is>
          <t>Not Run</t>
        </is>
      </c>
      <c r="O104" s="3" t="inlineStr"/>
      <c r="P104" s="47" t="inlineStr"/>
      <c r="Q104" s="3" t="inlineStr"/>
      <c r="R104" s="3" t="inlineStr"/>
      <c r="S104" s="3" t="inlineStr"/>
    </row>
    <row r="105" ht="98" customHeight="1">
      <c r="A105" s="29" t="n">
        <v>95</v>
      </c>
      <c r="B105" s="46" t="inlineStr">
        <is>
          <t>CH6-11</t>
        </is>
      </c>
      <c r="C105" s="3" t="inlineStr">
        <is>
          <t>LLP</t>
        </is>
      </c>
      <c r="D105" s="29" t="inlineStr">
        <is>
          <t>CH6</t>
        </is>
      </c>
      <c r="E105" s="50" t="inlineStr">
        <is>
          <t>RHB Support Email</t>
        </is>
      </c>
      <c r="F105" s="3" t="inlineStr">
        <is>
          <t>RHB Support email — To and CC</t>
        </is>
      </c>
      <c r="G105" s="3" t="inlineStr">
        <is>
          <t>CH6-02 passed (Application Approved). Values from the run log (black window) block READY FOR MANUAL EMAIL CHECK and the expected-email file 04-runs/12341_CH6_&lt;run&gt;.md.</t>
        </is>
      </c>
      <c r="H105" s="3" t="inlineStr">
        <is>
          <t>1. In Mailtrap, search the run's admin / director email (it is in CC of this email).
2. Open the email whose subject starts 'Approved eAuto Registration'.
3. Open its headers.</t>
        </is>
      </c>
      <c r="I105" s="3" t="inlineStr">
        <is>
          <t>1. To = BIS.Support@rhbgroup.com.
2. CC contains the UCD email recorded in the Application AND apply@eauto.my.
3. Received after the 'approved' time.
4. The email is in Mailtrap only — nothing reached RHB (Q-17).</t>
        </is>
      </c>
      <c r="J105" s="3" t="inlineStr">
        <is>
          <t>REQ-006</t>
        </is>
      </c>
      <c r="K105" s="29" t="inlineStr">
        <is>
          <t>High</t>
        </is>
      </c>
      <c r="L105" s="3" t="inlineStr">
        <is>
          <t>Functional</t>
        </is>
      </c>
      <c r="M105" s="3" t="inlineStr"/>
      <c r="N105" s="29" t="inlineStr">
        <is>
          <t>Not Run</t>
        </is>
      </c>
      <c r="O105" s="3" t="inlineStr"/>
      <c r="P105" s="47" t="inlineStr"/>
      <c r="Q105" s="3" t="inlineStr"/>
      <c r="R105" s="3" t="inlineStr"/>
      <c r="S105" s="3" t="inlineStr"/>
    </row>
    <row r="106" ht="84" customHeight="1">
      <c r="A106" s="29" t="n">
        <v>96</v>
      </c>
      <c r="B106" s="46" t="inlineStr">
        <is>
          <t>CH6-12</t>
        </is>
      </c>
      <c r="C106" s="3" t="inlineStr">
        <is>
          <t>LLP</t>
        </is>
      </c>
      <c r="D106" s="29" t="inlineStr">
        <is>
          <t>CH6</t>
        </is>
      </c>
      <c r="E106" s="50" t="inlineStr">
        <is>
          <t>RHB Support Email</t>
        </is>
      </c>
      <c r="F106" s="3" t="inlineStr">
        <is>
          <t>RHB Support email subject</t>
        </is>
      </c>
      <c r="G106" s="3" t="inlineStr">
        <is>
          <t>CH6-02 passed (Application Approved). Values from the run log (black window) block READY FOR MANUAL EMAIL CHECK and the expected-email file 04-runs/12341_CH6_&lt;run&gt;.md.</t>
        </is>
      </c>
      <c r="H106" s="3" t="inlineStr">
        <is>
          <t>1. Open the RHB Support email.
2. Read the subject.</t>
        </is>
      </c>
      <c r="I106" s="3" t="inlineStr">
        <is>
          <t>1. Subject = 'Approved eAuto Registration - &lt;Company Name&gt; - &lt;BRN Number&gt;'.
2. &lt;Company Name&gt; = the run's company name.
3. &lt;BRN Number&gt; = the number agreed in Q-05 (SRD example shows the 12-digit new number) — record which one.</t>
        </is>
      </c>
      <c r="J106" s="3" t="inlineStr">
        <is>
          <t>REQ-009</t>
        </is>
      </c>
      <c r="K106" s="29" t="inlineStr">
        <is>
          <t>High</t>
        </is>
      </c>
      <c r="L106" s="3" t="inlineStr">
        <is>
          <t>Functional</t>
        </is>
      </c>
      <c r="M106" s="3" t="inlineStr"/>
      <c r="N106" s="29" t="inlineStr">
        <is>
          <t>Not Run</t>
        </is>
      </c>
      <c r="O106" s="3" t="inlineStr"/>
      <c r="P106" s="47" t="inlineStr"/>
      <c r="Q106" s="3" t="inlineStr"/>
      <c r="R106" s="3" t="inlineStr"/>
      <c r="S106" s="3" t="inlineStr"/>
    </row>
    <row r="107" ht="112" customHeight="1">
      <c r="A107" s="29" t="n">
        <v>97</v>
      </c>
      <c r="B107" s="46" t="inlineStr">
        <is>
          <t>CH6-13</t>
        </is>
      </c>
      <c r="C107" s="3" t="inlineStr">
        <is>
          <t>LLP</t>
        </is>
      </c>
      <c r="D107" s="29" t="inlineStr">
        <is>
          <t>CH6</t>
        </is>
      </c>
      <c r="E107" s="50" t="inlineStr">
        <is>
          <t>RHB Support Email</t>
        </is>
      </c>
      <c r="F107" s="3" t="inlineStr">
        <is>
          <t>RHB Support email body — values and wording</t>
        </is>
      </c>
      <c r="G107" s="3" t="inlineStr">
        <is>
          <t>CH6-02 passed (Application Approved). Values from the run log (black window) block READY FOR MANUAL EMAIL CHECK and the expected-email file 04-runs/12341_CH6_&lt;run&gt;.md.</t>
        </is>
      </c>
      <c r="H107" s="3" t="inlineStr">
        <is>
          <t>1. Open the body.
2. Compare with sheet 'Expected Templates' → 'Email Template 3 — Body'.
3. Compare each value line with the Application.</t>
        </is>
      </c>
      <c r="I107" s="3" t="inlineStr">
        <is>
          <t>1. Every paragraph present, in order, same wording (1 working day request, Reply All instruction, signature block).
2. Company Name / Business Registration Number / UCD Contact Person / Contact Number / Email Address show the Application's values (which contact: Q-04).
3. Does NOT contain 'The above company is not eligible for RHB's online account-opening process…'.</t>
        </is>
      </c>
      <c r="J107" s="3" t="inlineStr">
        <is>
          <t>REQ-009</t>
        </is>
      </c>
      <c r="K107" s="29" t="inlineStr">
        <is>
          <t>High</t>
        </is>
      </c>
      <c r="L107" s="3" t="inlineStr">
        <is>
          <t>Functional</t>
        </is>
      </c>
      <c r="M107" s="3" t="inlineStr"/>
      <c r="N107" s="29" t="inlineStr">
        <is>
          <t>Not Run</t>
        </is>
      </c>
      <c r="O107" s="3" t="inlineStr"/>
      <c r="P107" s="47" t="inlineStr"/>
      <c r="Q107" s="3" t="inlineStr"/>
      <c r="R107" s="3" t="inlineStr"/>
      <c r="S107" s="3" t="inlineStr">
        <is>
          <t>The robot uses different name / mobile / email for Admin and Director, so this email shows which one the system takes (Q-04).</t>
        </is>
      </c>
    </row>
    <row r="108" ht="48" customHeight="1">
      <c r="A108" s="29" t="n">
        <v>98</v>
      </c>
      <c r="B108" s="46" t="inlineStr">
        <is>
          <t>CH6-14</t>
        </is>
      </c>
      <c r="C108" s="3" t="inlineStr">
        <is>
          <t>LLP</t>
        </is>
      </c>
      <c r="D108" s="29" t="inlineStr">
        <is>
          <t>CH6</t>
        </is>
      </c>
      <c r="E108" s="50" t="inlineStr">
        <is>
          <t>RHB Support Email</t>
        </is>
      </c>
      <c r="F108" s="3" t="inlineStr">
        <is>
          <t>Appointment Letter attached to the RHB Support email</t>
        </is>
      </c>
      <c r="G108" s="3" t="inlineStr">
        <is>
          <t>CH6-02 passed (Application Approved). Values from the run log (black window) block READY FOR MANUAL EMAIL CHECK and the expected-email file 04-runs/12341_CH6_&lt;run&gt;.md.</t>
        </is>
      </c>
      <c r="H108" s="3" t="inlineStr">
        <is>
          <t>1. Open the Attachments tab.
2. Download and open the attachment.</t>
        </is>
      </c>
      <c r="I108" s="3" t="inlineStr">
        <is>
          <t>1. Exactly one attachment: the Appointment Letter for THIS Application.
2. It opens without error.</t>
        </is>
      </c>
      <c r="J108" s="3" t="inlineStr">
        <is>
          <t>REQ-008</t>
        </is>
      </c>
      <c r="K108" s="29" t="inlineStr">
        <is>
          <t>High</t>
        </is>
      </c>
      <c r="L108" s="3" t="inlineStr">
        <is>
          <t>Functional</t>
        </is>
      </c>
      <c r="M108" s="3" t="inlineStr"/>
      <c r="N108" s="29" t="inlineStr">
        <is>
          <t>Not Run</t>
        </is>
      </c>
      <c r="O108" s="3" t="inlineStr"/>
      <c r="P108" s="47" t="inlineStr"/>
      <c r="Q108" s="3" t="inlineStr"/>
      <c r="R108" s="3" t="inlineStr"/>
      <c r="S108" s="3" t="inlineStr"/>
    </row>
    <row r="109" ht="196" customHeight="1">
      <c r="A109" s="29" t="n">
        <v>99</v>
      </c>
      <c r="B109" s="46" t="inlineStr">
        <is>
          <t>CH6-15</t>
        </is>
      </c>
      <c r="C109" s="3" t="inlineStr">
        <is>
          <t>LLP</t>
        </is>
      </c>
      <c r="D109" s="29" t="inlineStr">
        <is>
          <t>CH6</t>
        </is>
      </c>
      <c r="E109" s="51" t="inlineStr">
        <is>
          <t>Appointment Letter</t>
        </is>
      </c>
      <c r="F109" s="3" t="inlineStr">
        <is>
          <t>Appointment Letter layout and fixed text</t>
        </is>
      </c>
      <c r="G109" s="3" t="inlineStr">
        <is>
          <t>CH6-02 passed (Application Approved). Values from the run log (black window) block READY FOR MANUAL EMAIL CHECK and the expected-email file 04-runs/12341_CH6_&lt;run&gt;.md.</t>
        </is>
      </c>
      <c r="H109" s="3" t="inlineStr">
        <is>
          <t>1. Open the letter from the guideline email.
2. Compare with sheet 'Expected Templates' → 'Appointment Letter' and with Sample_Appointment_Letter_v2.0.
3. Check header, body, signature and footer on every page.</t>
        </is>
      </c>
      <c r="I109" s="3" t="inlineStr">
        <is>
          <t>1. Title 'LETTER OF CONFIRMATION OF REGISTRATION AS A USED CAR DEALER (UCD) UNDER eAUTO SDN. BHD. PLATFORM' (spacing: Q-10).
2. Letterhead: eAuto logo, 'eAuto Sdn Bhd 200401038456 (676967-T)', address, 'Tel: 03-2779 8893'.
3. Clauses 1–8 numbered, wording as the template; Clause 6 refers to 'Clause 5'.
4. Registration details table (UCD Name / Company Registration No. / UCD / Dealer Reference No.).
5. Signature image, 'CHIA KET MING', 'COO'; footer 'Website: www.eauto.my | Customer Service: 03-2779 8899 | Email: support@eauto.my'.
6. No layout break (cut text, overlap, blank page).</t>
        </is>
      </c>
      <c r="J109" s="3" t="inlineStr">
        <is>
          <t>REQ-007</t>
        </is>
      </c>
      <c r="K109" s="29" t="inlineStr">
        <is>
          <t>Medium</t>
        </is>
      </c>
      <c r="L109" s="3" t="inlineStr">
        <is>
          <t>Functional</t>
        </is>
      </c>
      <c r="M109" s="3" t="inlineStr"/>
      <c r="N109" s="29" t="inlineStr">
        <is>
          <t>Not Run</t>
        </is>
      </c>
      <c r="O109" s="3" t="inlineStr"/>
      <c r="P109" s="47" t="inlineStr"/>
      <c r="Q109" s="3" t="inlineStr"/>
      <c r="R109" s="3" t="inlineStr"/>
      <c r="S109" s="3" t="inlineStr"/>
    </row>
    <row r="110" ht="182" customHeight="1">
      <c r="A110" s="29" t="n">
        <v>100</v>
      </c>
      <c r="B110" s="46" t="inlineStr">
        <is>
          <t>CH6-16</t>
        </is>
      </c>
      <c r="C110" s="3" t="inlineStr">
        <is>
          <t>LLP</t>
        </is>
      </c>
      <c r="D110" s="29" t="inlineStr">
        <is>
          <t>CH6</t>
        </is>
      </c>
      <c r="E110" s="51" t="inlineStr">
        <is>
          <t>Appointment Letter</t>
        </is>
      </c>
      <c r="F110" s="3" t="inlineStr">
        <is>
          <t>Appointment Letter pre-filled values</t>
        </is>
      </c>
      <c r="G110" s="3" t="inlineStr">
        <is>
          <t>CH6-02 passed (Application Approved). Values from the run log (black window) block READY FOR MANUAL EMAIL CHECK and the expected-email file 04-runs/12341_CH6_&lt;run&gt;.md. SSM details from CH6-03.</t>
        </is>
      </c>
      <c r="H110" s="3" t="inlineStr">
        <is>
          <t>1. Open the letter.
2. Compare each value with its source (run log, Application, Pre-Application SSM details).</t>
        </is>
      </c>
      <c r="I110" s="3" t="inlineStr">
        <is>
          <t>1. Date = Application approval date, DD/MM/YYYY.
2. Our Ref = eAuto/OPS/UCD/&lt;Application No&gt;/&lt;approval year&gt; (square brackets: Q-07).
3. UCD Company Name = the Application's company name (recipient block, Clause 1, Clause 4).
4. Company Registration No. = &lt;LLP no. incl. -LGN&gt; (&lt;12-digit no.&gt;), e.g. LLP0035174-LGN (202304001238) — identical in recipient block, Clause 1 and Clause 4.
5. Company Address = the Application's company address (which field: Q-06).
6. UCD / Dealer Reference No. = '&lt;Pre-Application No&gt; / &lt;Application No&gt;'.</t>
        </is>
      </c>
      <c r="J110" s="3" t="inlineStr">
        <is>
          <t>REQ-007</t>
        </is>
      </c>
      <c r="K110" s="29" t="inlineStr">
        <is>
          <t>High</t>
        </is>
      </c>
      <c r="L110" s="3" t="inlineStr">
        <is>
          <t>Functional</t>
        </is>
      </c>
      <c r="M110" s="3" t="inlineStr"/>
      <c r="N110" s="29" t="inlineStr">
        <is>
          <t>Not Run</t>
        </is>
      </c>
      <c r="O110" s="3" t="inlineStr"/>
      <c r="P110" s="47" t="inlineStr"/>
      <c r="Q110" s="3" t="inlineStr"/>
      <c r="R110" s="3" t="inlineStr"/>
      <c r="S110" s="3" t="inlineStr"/>
    </row>
    <row r="111" ht="48" customHeight="1">
      <c r="A111" s="29" t="n">
        <v>101</v>
      </c>
      <c r="B111" s="46" t="inlineStr">
        <is>
          <t>CH6-17</t>
        </is>
      </c>
      <c r="C111" s="3" t="inlineStr">
        <is>
          <t>LLP</t>
        </is>
      </c>
      <c r="D111" s="29" t="inlineStr">
        <is>
          <t>CH6</t>
        </is>
      </c>
      <c r="E111" s="51" t="inlineStr">
        <is>
          <t>Appointment Letter</t>
        </is>
      </c>
      <c r="F111" s="3" t="inlineStr">
        <is>
          <t>Same Appointment Letter on both emails</t>
        </is>
      </c>
      <c r="G111" s="3" t="inlineStr">
        <is>
          <t>CH6-02 passed (Application Approved). Values from the run log (black window) block READY FOR MANUAL EMAIL CHECK and the expected-email file 04-runs/12341_CH6_&lt;run&gt;.md.</t>
        </is>
      </c>
      <c r="H111" s="3" t="inlineStr">
        <is>
          <t>1. Download the attachment of the guideline email and of the RHB Support email.
2. Compare them.</t>
        </is>
      </c>
      <c r="I111" s="3" t="inlineStr">
        <is>
          <t>1. Same file name and size.
2. Same Our Ref, date, company, registration number and reference numbers.</t>
        </is>
      </c>
      <c r="J111" s="3" t="inlineStr">
        <is>
          <t>REQ-008</t>
        </is>
      </c>
      <c r="K111" s="29" t="inlineStr">
        <is>
          <t>Medium</t>
        </is>
      </c>
      <c r="L111" s="3" t="inlineStr">
        <is>
          <t>Functional</t>
        </is>
      </c>
      <c r="M111" s="3" t="inlineStr"/>
      <c r="N111" s="29" t="inlineStr">
        <is>
          <t>Not Run</t>
        </is>
      </c>
      <c r="O111" s="3" t="inlineStr"/>
      <c r="P111" s="47" t="inlineStr"/>
      <c r="Q111" s="3" t="inlineStr"/>
      <c r="R111" s="3" t="inlineStr"/>
      <c r="S111" s="3" t="inlineStr"/>
    </row>
    <row r="112" ht="98" customHeight="1">
      <c r="A112" s="29" t="n">
        <v>102</v>
      </c>
      <c r="B112" s="46" t="inlineStr">
        <is>
          <t>CH6-18</t>
        </is>
      </c>
      <c r="C112" s="3" t="inlineStr">
        <is>
          <t>LLP</t>
        </is>
      </c>
      <c r="D112" s="29" t="inlineStr">
        <is>
          <t>CH6</t>
        </is>
      </c>
      <c r="E112" s="48" t="inlineStr">
        <is>
          <t>Negative &amp; Regression</t>
        </is>
      </c>
      <c r="F112" s="3" t="inlineStr">
        <is>
          <t>No unresolved placeholders anywhere</t>
        </is>
      </c>
      <c r="G112" s="3" t="inlineStr">
        <is>
          <t>CH6-02 passed (Application Approved). Values from the run log (black window) block READY FOR MANUAL EMAIL CHECK and the expected-email file 04-runs/12341_CH6_&lt;run&gt;.md.</t>
        </is>
      </c>
      <c r="H112" s="3" t="inlineStr">
        <is>
          <t>1. In both emails, search the subject and body for '[' and ']'.
2. In the letter, search for '[' and ']'.</t>
        </is>
      </c>
      <c r="I112" s="3" t="inlineStr">
        <is>
          <t>1. None of these appear literally: [Application No], [Company Name], [BRN Number], [Name], [Contact Number], [UCD Email Address], [RHB Online Registration Link], [Application Link], [DD/MM/YYYY], [YYYY], [UCD Company Name], [Old BRN], [New BRN], [Company Address], [Pre-Application No].
2. No empty value (e.g. 'Company Name: ' with nothing after it).</t>
        </is>
      </c>
      <c r="J112" s="3" t="inlineStr">
        <is>
          <t>REQ-005, REQ-007, REQ-009</t>
        </is>
      </c>
      <c r="K112" s="29" t="inlineStr">
        <is>
          <t>High</t>
        </is>
      </c>
      <c r="L112" s="3" t="inlineStr">
        <is>
          <t>Negative</t>
        </is>
      </c>
      <c r="M112" s="3" t="inlineStr"/>
      <c r="N112" s="29" t="inlineStr">
        <is>
          <t>Not Run</t>
        </is>
      </c>
      <c r="O112" s="3" t="inlineStr"/>
      <c r="P112" s="47" t="inlineStr"/>
      <c r="Q112" s="3" t="inlineStr"/>
      <c r="R112" s="3" t="inlineStr"/>
      <c r="S112" s="3" t="inlineStr">
        <is>
          <t>Brackets kept around a filled value in the letter are Q-07, not a failure here.</t>
        </is>
      </c>
    </row>
    <row r="113" ht="48" customHeight="1">
      <c r="A113" s="29" t="n">
        <v>103</v>
      </c>
      <c r="B113" s="46" t="inlineStr">
        <is>
          <t>CH6-19</t>
        </is>
      </c>
      <c r="C113" s="3" t="inlineStr">
        <is>
          <t>LLP</t>
        </is>
      </c>
      <c r="D113" s="29" t="inlineStr">
        <is>
          <t>CH6</t>
        </is>
      </c>
      <c r="E113" s="48" t="inlineStr">
        <is>
          <t>Negative &amp; Regression</t>
        </is>
      </c>
      <c r="F113" s="3" t="inlineStr">
        <is>
          <t>Exactly one of each email per approval (no duplicates)</t>
        </is>
      </c>
      <c r="G113" s="3" t="inlineStr">
        <is>
          <t>CH6-02 passed (Application Approved). Values from the run log (black window) block READY FOR MANUAL EMAIL CHECK and the expected-email file 04-runs/12341_CH6_&lt;run&gt;.md.</t>
        </is>
      </c>
      <c r="H113" s="3" t="inlineStr">
        <is>
          <t>1. Wait 10 minutes after the 'approved' time (Q-16).
2. In Mailtrap, count the emails for this Application by subject.</t>
        </is>
      </c>
      <c r="I113" s="3" t="inlineStr">
        <is>
          <t>1. Exactly 1 × 'RHB Online / Branch Account Opening - …'.
2. Exactly 1 × 'Approved eAuto Registration - …'.</t>
        </is>
      </c>
      <c r="J113" s="3" t="inlineStr">
        <is>
          <t>REQ-001</t>
        </is>
      </c>
      <c r="K113" s="29" t="inlineStr">
        <is>
          <t>Medium</t>
        </is>
      </c>
      <c r="L113" s="3" t="inlineStr">
        <is>
          <t>Negative</t>
        </is>
      </c>
      <c r="M113" s="3" t="inlineStr"/>
      <c r="N113" s="29" t="inlineStr">
        <is>
          <t>Not Run</t>
        </is>
      </c>
      <c r="O113" s="3" t="inlineStr"/>
      <c r="P113" s="47" t="inlineStr"/>
      <c r="Q113" s="3" t="inlineStr"/>
      <c r="R113" s="3" t="inlineStr"/>
      <c r="S113" s="3" t="inlineStr"/>
    </row>
    <row r="114" ht="22" customHeight="1">
      <c r="A114" s="57" t="inlineStr">
        <is>
          <t>BUSINESS TRADING (SABAH)   —   1 run(s)</t>
        </is>
      </c>
      <c r="P114" s="52" t="n"/>
    </row>
    <row r="115" ht="18" customHeight="1">
      <c r="A115" s="58" t="inlineStr">
        <is>
          <t>Run CH7  ·  2 directors (typed by the robot)  ·  TIN starts with any valid (Q-20)  ·  Non-SSM. No eSim. Letter registration number expected result is TBC (red).</t>
        </is>
      </c>
      <c r="P115" s="52" t="n"/>
    </row>
    <row r="116" ht="56" customHeight="1">
      <c r="A116" s="29" t="n">
        <v>104</v>
      </c>
      <c r="B116" s="46" t="inlineStr">
        <is>
          <t>CH7-01</t>
        </is>
      </c>
      <c r="C116" s="3" t="inlineStr">
        <is>
          <t>Business Trading (Sabah)</t>
        </is>
      </c>
      <c r="D116" s="29" t="inlineStr">
        <is>
          <t>CH7</t>
        </is>
      </c>
      <c r="E116" s="36" t="inlineStr">
        <is>
          <t>Setup &amp; Flow</t>
        </is>
      </c>
      <c r="F116" s="3" t="inlineStr">
        <is>
          <t>Test data ready for CH7 — Business Trading (Sabah) (no eSim)</t>
        </is>
      </c>
      <c r="G116" s="3" t="inlineStr">
        <is>
          <t>Tab '1 Companies' of EAINT-12341_eSim_Setup.xlsx open.</t>
        </is>
      </c>
      <c r="H116" s="3" t="inlineStr">
        <is>
          <t>1. In tab '1 Companies', find the row for CH7.
2. Type the TIN to use in the TIN cell (Q-20).
3. Save and close the Excel.</t>
        </is>
      </c>
      <c r="I116" s="3" t="inlineStr">
        <is>
          <t>1. The TIN cell of the row is filled.
2. The Excel is saved and closed (the robot reads it).</t>
        </is>
      </c>
      <c r="J116" s="3" t="inlineStr">
        <is>
          <t>Test data</t>
        </is>
      </c>
      <c r="K116" s="29" t="inlineStr">
        <is>
          <t>High</t>
        </is>
      </c>
      <c r="L116" s="3" t="inlineStr">
        <is>
          <t>Setup</t>
        </is>
      </c>
      <c r="M116" s="3" t="inlineStr"/>
      <c r="N116" s="29" t="inlineStr">
        <is>
          <t>Not Run</t>
        </is>
      </c>
      <c r="O116" s="3" t="inlineStr"/>
      <c r="P116" s="47" t="inlineStr"/>
      <c r="Q116" s="3" t="inlineStr"/>
      <c r="R116" s="3" t="inlineStr"/>
      <c r="S116" s="3" t="inlineStr"/>
    </row>
    <row r="117" ht="126" customHeight="1">
      <c r="A117" s="29" t="n">
        <v>105</v>
      </c>
      <c r="B117" s="46" t="inlineStr">
        <is>
          <t>CH7-02</t>
        </is>
      </c>
      <c r="C117" s="3" t="inlineStr">
        <is>
          <t>Business Trading (Sabah)</t>
        </is>
      </c>
      <c r="D117" s="29" t="inlineStr">
        <is>
          <t>CH7</t>
        </is>
      </c>
      <c r="E117" s="36" t="inlineStr">
        <is>
          <t>Setup &amp; Flow</t>
        </is>
      </c>
      <c r="F117" s="3" t="inlineStr">
        <is>
          <t>Robot runs CH7 to Application Approved</t>
        </is>
      </c>
      <c r="G117" s="3" t="inlineStr">
        <is>
          <t>CH7-01 passed. VPN on. Settings file filled. Mailtrap open.</t>
        </is>
      </c>
      <c r="H117" s="3" t="inlineStr">
        <is>
          <t>1. In the automation folder run: npm run ch7.
2. Tick 'I'm not a robot' when the window asks.
3. Pay in the payment window when the window asks.
4. Do not click anything else; wait for the end of the run.
5. Copy the black-window text and keep it with the evidence.</t>
        </is>
      </c>
      <c r="I117" s="3" t="inlineStr">
        <is>
          <t>1. The Pre-Application is created, paid and approved (Pre-Application No P……/….. printed).
2. The Application is submitted and approved by the Approver (Application No NA…….. printed).
3. The window shows 'READY FOR MANUAL EMAIL CHECK' — stopped at Application Approved.
4. An expected-email file is created in 04-runs/.</t>
        </is>
      </c>
      <c r="J117" s="3" t="inlineStr">
        <is>
          <t>REQ-001 (trigger)</t>
        </is>
      </c>
      <c r="K117" s="29" t="inlineStr">
        <is>
          <t>High</t>
        </is>
      </c>
      <c r="L117" s="3" t="inlineStr">
        <is>
          <t>E2E flow (automation)</t>
        </is>
      </c>
      <c r="M117" s="3" t="inlineStr"/>
      <c r="N117" s="29" t="inlineStr">
        <is>
          <t>Not Run</t>
        </is>
      </c>
      <c r="O117" s="3" t="inlineStr"/>
      <c r="P117" s="47" t="inlineStr"/>
      <c r="Q117" s="3" t="inlineStr"/>
      <c r="R117" s="3" t="inlineStr"/>
      <c r="S117" s="3" t="inlineStr"/>
    </row>
    <row r="118" ht="56" customHeight="1">
      <c r="A118" s="29" t="n">
        <v>106</v>
      </c>
      <c r="B118" s="46" t="inlineStr">
        <is>
          <t>CH7-03</t>
        </is>
      </c>
      <c r="C118" s="3" t="inlineStr">
        <is>
          <t>Business Trading (Sabah)</t>
        </is>
      </c>
      <c r="D118" s="29" t="inlineStr">
        <is>
          <t>CH7</t>
        </is>
      </c>
      <c r="E118" s="36" t="inlineStr">
        <is>
          <t>Setup &amp; Flow</t>
        </is>
      </c>
      <c r="F118" s="3" t="inlineStr">
        <is>
          <t>Pre-Application record shows the Business Trading details</t>
        </is>
      </c>
      <c r="G118" s="3" t="inlineStr">
        <is>
          <t>CH7-02 reached at least Pre-Application approved.</t>
        </is>
      </c>
      <c r="H118" s="3" t="inlineStr">
        <is>
          <t>1. BackOffice &gt; Pre-Application listing: search the Pre-Application No.
2. Open the record.</t>
        </is>
      </c>
      <c r="I118" s="3" t="inlineStr">
        <is>
          <t>1. Business type = Business Trading (Sabah).
2. The licence number the robot typed is shown.
3. Company name = the run's company name.</t>
        </is>
      </c>
      <c r="J118" s="3" t="inlineStr">
        <is>
          <t>Regression (existing behaviour)</t>
        </is>
      </c>
      <c r="K118" s="29" t="inlineStr">
        <is>
          <t>Medium</t>
        </is>
      </c>
      <c r="L118" s="3" t="inlineStr">
        <is>
          <t>Regression</t>
        </is>
      </c>
      <c r="M118" s="3" t="inlineStr"/>
      <c r="N118" s="29" t="inlineStr">
        <is>
          <t>Not Run</t>
        </is>
      </c>
      <c r="O118" s="3" t="inlineStr"/>
      <c r="P118" s="47" t="inlineStr"/>
      <c r="Q118" s="3" t="inlineStr"/>
      <c r="R118" s="3" t="inlineStr"/>
      <c r="S118" s="3" t="inlineStr"/>
    </row>
    <row r="119" ht="84" customHeight="1">
      <c r="A119" s="29" t="n">
        <v>107</v>
      </c>
      <c r="B119" s="46" t="inlineStr">
        <is>
          <t>CH7-04</t>
        </is>
      </c>
      <c r="C119" s="3" t="inlineStr">
        <is>
          <t>Business Trading (Sabah)</t>
        </is>
      </c>
      <c r="D119" s="29" t="inlineStr">
        <is>
          <t>CH7</t>
        </is>
      </c>
      <c r="E119" s="48" t="inlineStr">
        <is>
          <t>Negative &amp; Regression</t>
        </is>
      </c>
      <c r="F119" s="3" t="inlineStr">
        <is>
          <t>Pre-Application approval does NOT send the new emails</t>
        </is>
      </c>
      <c r="G119" s="3" t="inlineStr">
        <is>
          <t>CH7-02 reached at least Pre-Application approved.</t>
        </is>
      </c>
      <c r="H119" s="3" t="inlineStr">
        <is>
          <t>1. Take the 'pre-app approved' and 'approved' (or 'submitted') times from the run log.
2. In Mailtrap, list all emails to the run's admin and director email addresses between those two times.</t>
        </is>
      </c>
      <c r="I119" s="3" t="inlineStr">
        <is>
          <t>1. No 'RHB Online / Branch Account Opening' email in that window.
2. No 'Approved eAuto Registration' email in that window.
3. The existing Pre-Application approval email (with the Application link) still arrives as before.</t>
        </is>
      </c>
      <c r="J119" s="3" t="inlineStr">
        <is>
          <t>REQ-001</t>
        </is>
      </c>
      <c r="K119" s="29" t="inlineStr">
        <is>
          <t>Medium</t>
        </is>
      </c>
      <c r="L119" s="3" t="inlineStr">
        <is>
          <t>Negative</t>
        </is>
      </c>
      <c r="M119" s="3" t="inlineStr"/>
      <c r="N119" s="29" t="inlineStr">
        <is>
          <t>Not Run</t>
        </is>
      </c>
      <c r="O119" s="3" t="inlineStr"/>
      <c r="P119" s="47" t="inlineStr"/>
      <c r="Q119" s="3" t="inlineStr"/>
      <c r="R119" s="3" t="inlineStr"/>
      <c r="S119" s="3" t="inlineStr"/>
    </row>
    <row r="120" ht="98" customHeight="1">
      <c r="A120" s="29" t="n">
        <v>108</v>
      </c>
      <c r="B120" s="46" t="inlineStr">
        <is>
          <t>CH7-05</t>
        </is>
      </c>
      <c r="C120" s="3" t="inlineStr">
        <is>
          <t>Business Trading (Sabah)</t>
        </is>
      </c>
      <c r="D120" s="29" t="inlineStr">
        <is>
          <t>CH7</t>
        </is>
      </c>
      <c r="E120" s="49" t="inlineStr">
        <is>
          <t>Guideline Email (UCD)</t>
        </is>
      </c>
      <c r="F120" s="3" t="inlineStr">
        <is>
          <t>Guideline email is received by the UCD — To and CC</t>
        </is>
      </c>
      <c r="G120" s="3" t="inlineStr">
        <is>
          <t>CH7-02 passed (Application Approved). Values from the run log (black window) block READY FOR MANUAL EMAIL CHECK and the expected-email file 04-runs/12341_CH7_&lt;run&gt;.md.</t>
        </is>
      </c>
      <c r="H120" s="3" t="inlineStr">
        <is>
          <t>1. In Mailtrap, search the admin email and the director email from the run log.
2. Open the email whose subject starts 'RHB Online / Branch Account Opening'.
3. Open its headers (To, CC) and note the received time.</t>
        </is>
      </c>
      <c r="I120" s="3" t="inlineStr">
        <is>
          <t>1. Exactly one such email for this Application.
2. To = the UCD email recorded in the Application — record WHICH address it is (admin or director, Q-04).
3. CC = apply@eauto.my.
4. Received after the 'approved' time in the run log.</t>
        </is>
      </c>
      <c r="J120" s="3" t="inlineStr">
        <is>
          <t>REQ-001, REQ-002</t>
        </is>
      </c>
      <c r="K120" s="29" t="inlineStr">
        <is>
          <t>High</t>
        </is>
      </c>
      <c r="L120" s="3" t="inlineStr">
        <is>
          <t>Functional</t>
        </is>
      </c>
      <c r="M120" s="3" t="inlineStr"/>
      <c r="N120" s="29" t="inlineStr">
        <is>
          <t>Not Run</t>
        </is>
      </c>
      <c r="O120" s="3" t="inlineStr"/>
      <c r="P120" s="47" t="inlineStr"/>
      <c r="Q120" s="3" t="inlineStr"/>
      <c r="R120" s="3" t="inlineStr"/>
      <c r="S120" s="3" t="inlineStr">
        <is>
          <t>Sender (From) not checked — still pending Operations (Q-12).</t>
        </is>
      </c>
    </row>
    <row r="121" ht="84" customHeight="1">
      <c r="A121" s="29" t="n">
        <v>109</v>
      </c>
      <c r="B121" s="46" t="inlineStr">
        <is>
          <t>CH7-06</t>
        </is>
      </c>
      <c r="C121" s="3" t="inlineStr">
        <is>
          <t>Business Trading (Sabah)</t>
        </is>
      </c>
      <c r="D121" s="29" t="inlineStr">
        <is>
          <t>CH7</t>
        </is>
      </c>
      <c r="E121" s="49" t="inlineStr">
        <is>
          <t>Guideline Email (UCD)</t>
        </is>
      </c>
      <c r="F121" s="3" t="inlineStr">
        <is>
          <t>Guideline email subject</t>
        </is>
      </c>
      <c r="G121" s="3" t="inlineStr">
        <is>
          <t>CH7-02 passed (Application Approved). Values from the run log (black window) block READY FOR MANUAL EMAIL CHECK and the expected-email file 04-runs/12341_CH7_&lt;run&gt;.md.</t>
        </is>
      </c>
      <c r="H121" s="3" t="inlineStr">
        <is>
          <t>1. Open the guideline email.
2. Read the subject exactly as shown.</t>
        </is>
      </c>
      <c r="I121" s="3" t="inlineStr">
        <is>
          <t>1. Subject = 'RHB Online / Branch Account Opening - &lt;Application No&gt; - &lt;Company Name&gt;'.
2. &lt;Application No&gt; = the NA number in the run log; &lt;Company Name&gt; = the run's company name.
3. Not the old v1.1 subjects 'RHB Online Account Opening - …' or 'RHB Branch Account Opening - …'.</t>
        </is>
      </c>
      <c r="J121" s="3" t="inlineStr">
        <is>
          <t>REQ-005</t>
        </is>
      </c>
      <c r="K121" s="29" t="inlineStr">
        <is>
          <t>High</t>
        </is>
      </c>
      <c r="L121" s="3" t="inlineStr">
        <is>
          <t>Functional</t>
        </is>
      </c>
      <c r="M121" s="3" t="inlineStr"/>
      <c r="N121" s="29" t="inlineStr">
        <is>
          <t>Not Run</t>
        </is>
      </c>
      <c r="O121" s="3" t="inlineStr"/>
      <c r="P121" s="47" t="inlineStr"/>
      <c r="Q121" s="3" t="inlineStr"/>
      <c r="R121" s="3" t="inlineStr"/>
      <c r="S121" s="3" t="inlineStr"/>
    </row>
    <row r="122" ht="168" customHeight="1">
      <c r="A122" s="29" t="n">
        <v>110</v>
      </c>
      <c r="B122" s="46" t="inlineStr">
        <is>
          <t>CH7-07</t>
        </is>
      </c>
      <c r="C122" s="3" t="inlineStr">
        <is>
          <t>Business Trading (Sabah)</t>
        </is>
      </c>
      <c r="D122" s="29" t="inlineStr">
        <is>
          <t>CH7</t>
        </is>
      </c>
      <c r="E122" s="49" t="inlineStr">
        <is>
          <t>Guideline Email (UCD)</t>
        </is>
      </c>
      <c r="F122" s="3" t="inlineStr">
        <is>
          <t>Guideline email body — same combined template (online + branch options)</t>
        </is>
      </c>
      <c r="G122" s="3" t="inlineStr">
        <is>
          <t>CH7-02 passed (Application Approved). Values from the run log (black window) block READY FOR MANUAL EMAIL CHECK and the expected-email file 04-runs/12341_CH7_&lt;run&gt;.md.</t>
        </is>
      </c>
      <c r="H122" s="3" t="inlineStr">
        <is>
          <t>1. Open the email body (HTML view).
2. Compare paragraph by paragraph with sheet 'Expected Templates' → 'Email Template 1 — Body' (or the 04-runs file).
3. Check the Text view too if Mailtrap shows one.</t>
        </is>
      </c>
      <c r="I122" s="3" t="inlineStr">
        <is>
          <t>1. Every paragraph present, in order, same wording.
2. Application No and Company Name show the run's values.
3. Contains 'within three (3) working days', 'Option 1 – Online Account Opening' (with the four (4) users note and seven (7) days) and 'Option 2 – Account Opening at RHB Branch'.
4. Ends with the signature block (Thank you / Best regards / eAuto Sdn Bhd / address / Customer Service / WhatsApp) — Q-01.
5. Does NOT contain 'As your company meets the eligibility requirements…' nor 'Please bring the documents provided by RHB…'.</t>
        </is>
      </c>
      <c r="J122" s="3" t="inlineStr">
        <is>
          <t>REQ-005</t>
        </is>
      </c>
      <c r="K122" s="29" t="inlineStr">
        <is>
          <t>High</t>
        </is>
      </c>
      <c r="L122" s="3" t="inlineStr">
        <is>
          <t>Functional</t>
        </is>
      </c>
      <c r="M122" s="3" t="inlineStr"/>
      <c r="N122" s="29" t="inlineStr">
        <is>
          <t>Not Run</t>
        </is>
      </c>
      <c r="O122" s="3" t="inlineStr"/>
      <c r="P122" s="47" t="inlineStr"/>
      <c r="Q122" s="3" t="inlineStr"/>
      <c r="R122" s="3" t="inlineStr"/>
      <c r="S122" s="3" t="inlineStr">
        <is>
          <t>Same expected text for every business type — REQ-005 Example 1 and Example 2 both send Email Template 1. Non-SSM. No eSim. Letter registration number expected result is TBC (red).</t>
        </is>
      </c>
    </row>
    <row r="123" ht="56" customHeight="1">
      <c r="A123" s="29" t="n">
        <v>111</v>
      </c>
      <c r="B123" s="46" t="inlineStr">
        <is>
          <t>CH7-08</t>
        </is>
      </c>
      <c r="C123" s="3" t="inlineStr">
        <is>
          <t>Business Trading (Sabah)</t>
        </is>
      </c>
      <c r="D123" s="29" t="inlineStr">
        <is>
          <t>CH7</t>
        </is>
      </c>
      <c r="E123" s="49" t="inlineStr">
        <is>
          <t>Guideline Email (UCD)</t>
        </is>
      </c>
      <c r="F123" s="3" t="inlineStr">
        <is>
          <t>Links in the guideline email</t>
        </is>
      </c>
      <c r="G123" s="3" t="inlineStr">
        <is>
          <t>CH7-02 passed (Application Approved). Values from the run log (black window) block READY FOR MANUAL EMAIL CHECK and the expected-email file 04-runs/12341_CH7_&lt;run&gt;.md.</t>
        </is>
      </c>
      <c r="H123" s="3" t="inlineStr">
        <is>
          <t>1. Hover over the link under 'Option 1 – Online Account Opening' and note the target.
2. Hover over the Application Link near the end.</t>
        </is>
      </c>
      <c r="I123" s="3" t="inlineStr">
        <is>
          <t>1. Option 1 link target = https://smecaonline.rhbgroup.com/sme/online?tag=campaign.
2. The Application Link is a clickable URL, not the text '[Application Link]'.</t>
        </is>
      </c>
      <c r="J123" s="3" t="inlineStr">
        <is>
          <t>REQ-005</t>
        </is>
      </c>
      <c r="K123" s="29" t="inlineStr">
        <is>
          <t>Medium</t>
        </is>
      </c>
      <c r="L123" s="3" t="inlineStr">
        <is>
          <t>Functional</t>
        </is>
      </c>
      <c r="M123" s="3" t="inlineStr"/>
      <c r="N123" s="29" t="inlineStr">
        <is>
          <t>Not Run</t>
        </is>
      </c>
      <c r="O123" s="3" t="inlineStr"/>
      <c r="P123" s="47" t="inlineStr"/>
      <c r="Q123" s="3" t="inlineStr"/>
      <c r="R123" s="3" t="inlineStr"/>
      <c r="S123" s="3" t="inlineStr">
        <is>
          <t>Where the Application Link must land is not in the SRD (Q-03).</t>
        </is>
      </c>
    </row>
    <row r="124" ht="98" customHeight="1">
      <c r="A124" s="29" t="n">
        <v>112</v>
      </c>
      <c r="B124" s="46" t="inlineStr">
        <is>
          <t>CH7-09</t>
        </is>
      </c>
      <c r="C124" s="3" t="inlineStr">
        <is>
          <t>Business Trading (Sabah)</t>
        </is>
      </c>
      <c r="D124" s="29" t="inlineStr">
        <is>
          <t>CH7</t>
        </is>
      </c>
      <c r="E124" s="49" t="inlineStr">
        <is>
          <t>Guideline Email (UCD)</t>
        </is>
      </c>
      <c r="F124" s="3" t="inlineStr">
        <is>
          <t>Appointment Letter attached to the guideline email</t>
        </is>
      </c>
      <c r="G124" s="3" t="inlineStr">
        <is>
          <t>CH7-02 passed (Application Approved). Values from the run log (black window) block READY FOR MANUAL EMAIL CHECK and the expected-email file 04-runs/12341_CH7_&lt;run&gt;.md.</t>
        </is>
      </c>
      <c r="H124" s="3" t="inlineStr">
        <is>
          <t>1. Open the Attachments tab of the guideline email.
2. Note file name, type and size.
3. Download and open it.</t>
        </is>
      </c>
      <c r="I124" s="3" t="inlineStr">
        <is>
          <t>1. Exactly one attachment: the Appointment Letter.
2. It opens without error.
3. It is for THIS Application (company name and Application No match).
4. No Offer Letter, Direct Debit form or Board of Resolution attached.</t>
        </is>
      </c>
      <c r="J124" s="3" t="inlineStr">
        <is>
          <t>REQ-008</t>
        </is>
      </c>
      <c r="K124" s="29" t="inlineStr">
        <is>
          <t>High</t>
        </is>
      </c>
      <c r="L124" s="3" t="inlineStr">
        <is>
          <t>Functional</t>
        </is>
      </c>
      <c r="M124" s="3" t="inlineStr"/>
      <c r="N124" s="29" t="inlineStr">
        <is>
          <t>Not Run</t>
        </is>
      </c>
      <c r="O124" s="3" t="inlineStr"/>
      <c r="P124" s="47" t="inlineStr"/>
      <c r="Q124" s="3" t="inlineStr"/>
      <c r="R124" s="3" t="inlineStr"/>
      <c r="S124" s="3" t="inlineStr">
        <is>
          <t>File type and name not specified (Q-08) — record them.</t>
        </is>
      </c>
    </row>
    <row r="125" ht="56" customHeight="1">
      <c r="A125" s="29" t="n">
        <v>113</v>
      </c>
      <c r="B125" s="46" t="inlineStr">
        <is>
          <t>CH7-10</t>
        </is>
      </c>
      <c r="C125" s="3" t="inlineStr">
        <is>
          <t>Business Trading (Sabah)</t>
        </is>
      </c>
      <c r="D125" s="29" t="inlineStr">
        <is>
          <t>CH7</t>
        </is>
      </c>
      <c r="E125" s="49" t="inlineStr">
        <is>
          <t>Guideline Email (UCD)</t>
        </is>
      </c>
      <c r="F125" s="3" t="inlineStr">
        <is>
          <t>Removed templates are not sent</t>
        </is>
      </c>
      <c r="G125" s="3" t="inlineStr">
        <is>
          <t>CH7-02 passed (Application Approved). Values from the run log (black window) block READY FOR MANUAL EMAIL CHECK and the expected-email file 04-runs/12341_CH7_&lt;run&gt;.md.</t>
        </is>
      </c>
      <c r="H125" s="3" t="inlineStr">
        <is>
          <t>1. In Mailtrap, list every email to the run's addresses after the 'approved' time.</t>
        </is>
      </c>
      <c r="I125" s="3" t="inlineStr">
        <is>
          <t>1. No email with subject 'RHB Branch Account Opening - …' (old Email Template 2).
2. No email with subject 'RHB Online Account Opening - …' without '/ Branch' (old Email Template 1).</t>
        </is>
      </c>
      <c r="J125" s="3" t="inlineStr">
        <is>
          <t>REQ-003 / REQ-004 removed, REQ-005</t>
        </is>
      </c>
      <c r="K125" s="29" t="inlineStr">
        <is>
          <t>Medium</t>
        </is>
      </c>
      <c r="L125" s="3" t="inlineStr">
        <is>
          <t>Negative</t>
        </is>
      </c>
      <c r="M125" s="3" t="inlineStr"/>
      <c r="N125" s="29" t="inlineStr">
        <is>
          <t>Not Run</t>
        </is>
      </c>
      <c r="O125" s="3" t="inlineStr"/>
      <c r="P125" s="47" t="inlineStr"/>
      <c r="Q125" s="3" t="inlineStr"/>
      <c r="R125" s="3" t="inlineStr"/>
      <c r="S125" s="3" t="inlineStr"/>
    </row>
    <row r="126" ht="98" customHeight="1">
      <c r="A126" s="29" t="n">
        <v>114</v>
      </c>
      <c r="B126" s="46" t="inlineStr">
        <is>
          <t>CH7-11</t>
        </is>
      </c>
      <c r="C126" s="3" t="inlineStr">
        <is>
          <t>Business Trading (Sabah)</t>
        </is>
      </c>
      <c r="D126" s="29" t="inlineStr">
        <is>
          <t>CH7</t>
        </is>
      </c>
      <c r="E126" s="50" t="inlineStr">
        <is>
          <t>RHB Support Email</t>
        </is>
      </c>
      <c r="F126" s="3" t="inlineStr">
        <is>
          <t>RHB Support email — To and CC</t>
        </is>
      </c>
      <c r="G126" s="3" t="inlineStr">
        <is>
          <t>CH7-02 passed (Application Approved). Values from the run log (black window) block READY FOR MANUAL EMAIL CHECK and the expected-email file 04-runs/12341_CH7_&lt;run&gt;.md.</t>
        </is>
      </c>
      <c r="H126" s="3" t="inlineStr">
        <is>
          <t>1. In Mailtrap, search the run's admin / director email (it is in CC of this email).
2. Open the email whose subject starts 'Approved eAuto Registration'.
3. Open its headers.</t>
        </is>
      </c>
      <c r="I126" s="3" t="inlineStr">
        <is>
          <t>1. To = BIS.Support@rhbgroup.com.
2. CC contains the UCD email recorded in the Application AND apply@eauto.my.
3. Received after the 'approved' time.
4. The email is in Mailtrap only — nothing reached RHB (Q-17).</t>
        </is>
      </c>
      <c r="J126" s="3" t="inlineStr">
        <is>
          <t>REQ-006</t>
        </is>
      </c>
      <c r="K126" s="29" t="inlineStr">
        <is>
          <t>High</t>
        </is>
      </c>
      <c r="L126" s="3" t="inlineStr">
        <is>
          <t>Functional</t>
        </is>
      </c>
      <c r="M126" s="3" t="inlineStr"/>
      <c r="N126" s="29" t="inlineStr">
        <is>
          <t>Not Run</t>
        </is>
      </c>
      <c r="O126" s="3" t="inlineStr"/>
      <c r="P126" s="47" t="inlineStr"/>
      <c r="Q126" s="3" t="inlineStr"/>
      <c r="R126" s="3" t="inlineStr"/>
      <c r="S126" s="3" t="inlineStr"/>
    </row>
    <row r="127" ht="84" customHeight="1">
      <c r="A127" s="29" t="n">
        <v>115</v>
      </c>
      <c r="B127" s="59" t="inlineStr">
        <is>
          <t>CH7-12</t>
        </is>
      </c>
      <c r="C127" s="3" t="inlineStr">
        <is>
          <t>Business Trading (Sabah)</t>
        </is>
      </c>
      <c r="D127" s="29" t="inlineStr">
        <is>
          <t>CH7</t>
        </is>
      </c>
      <c r="E127" s="50" t="inlineStr">
        <is>
          <t>RHB Support Email</t>
        </is>
      </c>
      <c r="F127" s="3" t="inlineStr">
        <is>
          <t>RHB Support email subject</t>
        </is>
      </c>
      <c r="G127" s="3" t="inlineStr">
        <is>
          <t>CH7-02 passed (Application Approved). Values from the run log (black window) block READY FOR MANUAL EMAIL CHECK and the expected-email file 04-runs/12341_CH7_&lt;run&gt;.md.</t>
        </is>
      </c>
      <c r="H127" s="3" t="inlineStr">
        <is>
          <t>1. Open the RHB Support email.
2. Read the subject.</t>
        </is>
      </c>
      <c r="I127" s="3" t="inlineStr">
        <is>
          <t>1. Subject = 'Approved eAuto Registration - &lt;Company Name&gt; - &lt;BRN Number&gt;'.
2. &lt;Company Name&gt; = the run's company name.
3. &lt;BRN Number&gt; = the number agreed in Q-05 (SRD example shows the 12-digit new number) — record which one.</t>
        </is>
      </c>
      <c r="J127" s="3" t="inlineStr">
        <is>
          <t>REQ-009</t>
        </is>
      </c>
      <c r="K127" s="29" t="inlineStr">
        <is>
          <t>High</t>
        </is>
      </c>
      <c r="L127" s="3" t="inlineStr">
        <is>
          <t>Functional</t>
        </is>
      </c>
      <c r="M127" s="3" t="inlineStr"/>
      <c r="N127" s="29" t="inlineStr">
        <is>
          <t>Not Run</t>
        </is>
      </c>
      <c r="O127" s="3" t="inlineStr"/>
      <c r="P127" s="47" t="inlineStr"/>
      <c r="Q127" s="3" t="inlineStr"/>
      <c r="R127" s="3" t="inlineStr"/>
      <c r="S127" s="3" t="inlineStr">
        <is>
          <t>Business Trading: what replaces the BRN is TBC (Q-05 / Q-09).</t>
        </is>
      </c>
    </row>
    <row r="128" ht="112" customHeight="1">
      <c r="A128" s="29" t="n">
        <v>116</v>
      </c>
      <c r="B128" s="46" t="inlineStr">
        <is>
          <t>CH7-13</t>
        </is>
      </c>
      <c r="C128" s="3" t="inlineStr">
        <is>
          <t>Business Trading (Sabah)</t>
        </is>
      </c>
      <c r="D128" s="29" t="inlineStr">
        <is>
          <t>CH7</t>
        </is>
      </c>
      <c r="E128" s="50" t="inlineStr">
        <is>
          <t>RHB Support Email</t>
        </is>
      </c>
      <c r="F128" s="3" t="inlineStr">
        <is>
          <t>RHB Support email body — values and wording</t>
        </is>
      </c>
      <c r="G128" s="3" t="inlineStr">
        <is>
          <t>CH7-02 passed (Application Approved). Values from the run log (black window) block READY FOR MANUAL EMAIL CHECK and the expected-email file 04-runs/12341_CH7_&lt;run&gt;.md.</t>
        </is>
      </c>
      <c r="H128" s="3" t="inlineStr">
        <is>
          <t>1. Open the body.
2. Compare with sheet 'Expected Templates' → 'Email Template 3 — Body'.
3. Compare each value line with the Application.</t>
        </is>
      </c>
      <c r="I128" s="3" t="inlineStr">
        <is>
          <t>1. Every paragraph present, in order, same wording (1 working day request, Reply All instruction, signature block).
2. Company Name / Business Registration Number / UCD Contact Person / Contact Number / Email Address show the Application's values (which contact: Q-04).
3. Does NOT contain 'The above company is not eligible for RHB's online account-opening process…'.</t>
        </is>
      </c>
      <c r="J128" s="3" t="inlineStr">
        <is>
          <t>REQ-009</t>
        </is>
      </c>
      <c r="K128" s="29" t="inlineStr">
        <is>
          <t>High</t>
        </is>
      </c>
      <c r="L128" s="3" t="inlineStr">
        <is>
          <t>Functional</t>
        </is>
      </c>
      <c r="M128" s="3" t="inlineStr"/>
      <c r="N128" s="29" t="inlineStr">
        <is>
          <t>Not Run</t>
        </is>
      </c>
      <c r="O128" s="3" t="inlineStr"/>
      <c r="P128" s="47" t="inlineStr"/>
      <c r="Q128" s="3" t="inlineStr"/>
      <c r="R128" s="3" t="inlineStr"/>
      <c r="S128" s="3" t="inlineStr">
        <is>
          <t>The robot uses different name / mobile / email for Admin and Director, so this email shows which one the system takes (Q-04).</t>
        </is>
      </c>
    </row>
    <row r="129" ht="48" customHeight="1">
      <c r="A129" s="29" t="n">
        <v>117</v>
      </c>
      <c r="B129" s="46" t="inlineStr">
        <is>
          <t>CH7-14</t>
        </is>
      </c>
      <c r="C129" s="3" t="inlineStr">
        <is>
          <t>Business Trading (Sabah)</t>
        </is>
      </c>
      <c r="D129" s="29" t="inlineStr">
        <is>
          <t>CH7</t>
        </is>
      </c>
      <c r="E129" s="50" t="inlineStr">
        <is>
          <t>RHB Support Email</t>
        </is>
      </c>
      <c r="F129" s="3" t="inlineStr">
        <is>
          <t>Appointment Letter attached to the RHB Support email</t>
        </is>
      </c>
      <c r="G129" s="3" t="inlineStr">
        <is>
          <t>CH7-02 passed (Application Approved). Values from the run log (black window) block READY FOR MANUAL EMAIL CHECK and the expected-email file 04-runs/12341_CH7_&lt;run&gt;.md.</t>
        </is>
      </c>
      <c r="H129" s="3" t="inlineStr">
        <is>
          <t>1. Open the Attachments tab.
2. Download and open the attachment.</t>
        </is>
      </c>
      <c r="I129" s="3" t="inlineStr">
        <is>
          <t>1. Exactly one attachment: the Appointment Letter for THIS Application.
2. It opens without error.</t>
        </is>
      </c>
      <c r="J129" s="3" t="inlineStr">
        <is>
          <t>REQ-008</t>
        </is>
      </c>
      <c r="K129" s="29" t="inlineStr">
        <is>
          <t>High</t>
        </is>
      </c>
      <c r="L129" s="3" t="inlineStr">
        <is>
          <t>Functional</t>
        </is>
      </c>
      <c r="M129" s="3" t="inlineStr"/>
      <c r="N129" s="29" t="inlineStr">
        <is>
          <t>Not Run</t>
        </is>
      </c>
      <c r="O129" s="3" t="inlineStr"/>
      <c r="P129" s="47" t="inlineStr"/>
      <c r="Q129" s="3" t="inlineStr"/>
      <c r="R129" s="3" t="inlineStr"/>
      <c r="S129" s="3" t="inlineStr"/>
    </row>
    <row r="130" ht="196" customHeight="1">
      <c r="A130" s="29" t="n">
        <v>118</v>
      </c>
      <c r="B130" s="46" t="inlineStr">
        <is>
          <t>CH7-15</t>
        </is>
      </c>
      <c r="C130" s="3" t="inlineStr">
        <is>
          <t>Business Trading (Sabah)</t>
        </is>
      </c>
      <c r="D130" s="29" t="inlineStr">
        <is>
          <t>CH7</t>
        </is>
      </c>
      <c r="E130" s="51" t="inlineStr">
        <is>
          <t>Appointment Letter</t>
        </is>
      </c>
      <c r="F130" s="3" t="inlineStr">
        <is>
          <t>Appointment Letter layout and fixed text</t>
        </is>
      </c>
      <c r="G130" s="3" t="inlineStr">
        <is>
          <t>CH7-02 passed (Application Approved). Values from the run log (black window) block READY FOR MANUAL EMAIL CHECK and the expected-email file 04-runs/12341_CH7_&lt;run&gt;.md.</t>
        </is>
      </c>
      <c r="H130" s="3" t="inlineStr">
        <is>
          <t>1. Open the letter from the guideline email.
2. Compare with sheet 'Expected Templates' → 'Appointment Letter' and with Sample_Appointment_Letter_v2.0.
3. Check header, body, signature and footer on every page.</t>
        </is>
      </c>
      <c r="I130" s="3" t="inlineStr">
        <is>
          <t>1. Title 'LETTER OF CONFIRMATION OF REGISTRATION AS A USED CAR DEALER (UCD) UNDER eAUTO SDN. BHD. PLATFORM' (spacing: Q-10).
2. Letterhead: eAuto logo, 'eAuto Sdn Bhd 200401038456 (676967-T)', address, 'Tel: 03-2779 8893'.
3. Clauses 1–8 numbered, wording as the template; Clause 6 refers to 'Clause 5'.
4. Registration details table (UCD Name / Company Registration No. / UCD / Dealer Reference No.).
5. Signature image, 'CHIA KET MING', 'COO'; footer 'Website: www.eauto.my | Customer Service: 03-2779 8899 | Email: support@eauto.my'.
6. No layout break (cut text, overlap, blank page).</t>
        </is>
      </c>
      <c r="J130" s="3" t="inlineStr">
        <is>
          <t>REQ-007</t>
        </is>
      </c>
      <c r="K130" s="29" t="inlineStr">
        <is>
          <t>Medium</t>
        </is>
      </c>
      <c r="L130" s="3" t="inlineStr">
        <is>
          <t>Functional</t>
        </is>
      </c>
      <c r="M130" s="3" t="inlineStr"/>
      <c r="N130" s="29" t="inlineStr">
        <is>
          <t>Not Run</t>
        </is>
      </c>
      <c r="O130" s="3" t="inlineStr"/>
      <c r="P130" s="47" t="inlineStr"/>
      <c r="Q130" s="3" t="inlineStr"/>
      <c r="R130" s="3" t="inlineStr"/>
      <c r="S130" s="3" t="inlineStr"/>
    </row>
    <row r="131" ht="182" customHeight="1">
      <c r="A131" s="29" t="n">
        <v>119</v>
      </c>
      <c r="B131" s="59" t="inlineStr">
        <is>
          <t>CH7-16</t>
        </is>
      </c>
      <c r="C131" s="3" t="inlineStr">
        <is>
          <t>Business Trading (Sabah)</t>
        </is>
      </c>
      <c r="D131" s="29" t="inlineStr">
        <is>
          <t>CH7</t>
        </is>
      </c>
      <c r="E131" s="51" t="inlineStr">
        <is>
          <t>Appointment Letter</t>
        </is>
      </c>
      <c r="F131" s="3" t="inlineStr">
        <is>
          <t>Appointment Letter pre-filled values</t>
        </is>
      </c>
      <c r="G131" s="3" t="inlineStr">
        <is>
          <t>CH7-02 passed (Application Approved). Values from the run log (black window) block READY FOR MANUAL EMAIL CHECK and the expected-email file 04-runs/12341_CH7_&lt;run&gt;.md. SSM details from CH7-03.</t>
        </is>
      </c>
      <c r="H131" s="3" t="inlineStr">
        <is>
          <t>1. Open the letter.
2. Compare each value with its source (run log, Application, Pre-Application SSM details).</t>
        </is>
      </c>
      <c r="I131" s="3" t="inlineStr">
        <is>
          <t>1. Date = Application approval date, DD/MM/YYYY.
2. Our Ref = eAuto/OPS/UCD/&lt;Application No&gt;/&lt;approval year&gt; (square brackets: Q-07).
3. UCD Company Name = the Application's company name (recipient block, Clause 1, Clause 4).
4. Company Registration No. = TBC — no SSM details for Business Trading (Q-09) — identical in recipient block, Clause 1 and Clause 4.
5. Company Address = the Application's company address (which field: Q-06).
6. UCD / Dealer Reference No. = '&lt;Pre-Application No&gt; / &lt;Application No&gt;'.</t>
        </is>
      </c>
      <c r="J131" s="3" t="inlineStr">
        <is>
          <t>REQ-007</t>
        </is>
      </c>
      <c r="K131" s="29" t="inlineStr">
        <is>
          <t>High</t>
        </is>
      </c>
      <c r="L131" s="3" t="inlineStr">
        <is>
          <t>Functional</t>
        </is>
      </c>
      <c r="M131" s="3" t="inlineStr"/>
      <c r="N131" s="29" t="inlineStr">
        <is>
          <t>Not Run</t>
        </is>
      </c>
      <c r="O131" s="3" t="inlineStr"/>
      <c r="P131" s="47" t="inlineStr"/>
      <c r="Q131" s="3" t="inlineStr"/>
      <c r="R131" s="3" t="inlineStr"/>
      <c r="S131" s="3" t="inlineStr">
        <is>
          <t>RED: registration number for Business Trading is TBC (Q-09).</t>
        </is>
      </c>
    </row>
    <row r="132" ht="48" customHeight="1">
      <c r="A132" s="29" t="n">
        <v>120</v>
      </c>
      <c r="B132" s="46" t="inlineStr">
        <is>
          <t>CH7-17</t>
        </is>
      </c>
      <c r="C132" s="3" t="inlineStr">
        <is>
          <t>Business Trading (Sabah)</t>
        </is>
      </c>
      <c r="D132" s="29" t="inlineStr">
        <is>
          <t>CH7</t>
        </is>
      </c>
      <c r="E132" s="51" t="inlineStr">
        <is>
          <t>Appointment Letter</t>
        </is>
      </c>
      <c r="F132" s="3" t="inlineStr">
        <is>
          <t>Same Appointment Letter on both emails</t>
        </is>
      </c>
      <c r="G132" s="3" t="inlineStr">
        <is>
          <t>CH7-02 passed (Application Approved). Values from the run log (black window) block READY FOR MANUAL EMAIL CHECK and the expected-email file 04-runs/12341_CH7_&lt;run&gt;.md.</t>
        </is>
      </c>
      <c r="H132" s="3" t="inlineStr">
        <is>
          <t>1. Download the attachment of the guideline email and of the RHB Support email.
2. Compare them.</t>
        </is>
      </c>
      <c r="I132" s="3" t="inlineStr">
        <is>
          <t>1. Same file name and size.
2. Same Our Ref, date, company, registration number and reference numbers.</t>
        </is>
      </c>
      <c r="J132" s="3" t="inlineStr">
        <is>
          <t>REQ-008</t>
        </is>
      </c>
      <c r="K132" s="29" t="inlineStr">
        <is>
          <t>Medium</t>
        </is>
      </c>
      <c r="L132" s="3" t="inlineStr">
        <is>
          <t>Functional</t>
        </is>
      </c>
      <c r="M132" s="3" t="inlineStr"/>
      <c r="N132" s="29" t="inlineStr">
        <is>
          <t>Not Run</t>
        </is>
      </c>
      <c r="O132" s="3" t="inlineStr"/>
      <c r="P132" s="47" t="inlineStr"/>
      <c r="Q132" s="3" t="inlineStr"/>
      <c r="R132" s="3" t="inlineStr"/>
      <c r="S132" s="3" t="inlineStr"/>
    </row>
    <row r="133" ht="98" customHeight="1">
      <c r="A133" s="29" t="n">
        <v>121</v>
      </c>
      <c r="B133" s="46" t="inlineStr">
        <is>
          <t>CH7-18</t>
        </is>
      </c>
      <c r="C133" s="3" t="inlineStr">
        <is>
          <t>Business Trading (Sabah)</t>
        </is>
      </c>
      <c r="D133" s="29" t="inlineStr">
        <is>
          <t>CH7</t>
        </is>
      </c>
      <c r="E133" s="48" t="inlineStr">
        <is>
          <t>Negative &amp; Regression</t>
        </is>
      </c>
      <c r="F133" s="3" t="inlineStr">
        <is>
          <t>No unresolved placeholders anywhere</t>
        </is>
      </c>
      <c r="G133" s="3" t="inlineStr">
        <is>
          <t>CH7-02 passed (Application Approved). Values from the run log (black window) block READY FOR MANUAL EMAIL CHECK and the expected-email file 04-runs/12341_CH7_&lt;run&gt;.md.</t>
        </is>
      </c>
      <c r="H133" s="3" t="inlineStr">
        <is>
          <t>1. In both emails, search the subject and body for '[' and ']'.
2. In the letter, search for '[' and ']'.</t>
        </is>
      </c>
      <c r="I133" s="3" t="inlineStr">
        <is>
          <t>1. None of these appear literally: [Application No], [Company Name], [BRN Number], [Name], [Contact Number], [UCD Email Address], [RHB Online Registration Link], [Application Link], [DD/MM/YYYY], [YYYY], [UCD Company Name], [Old BRN], [New BRN], [Company Address], [Pre-Application No].
2. No empty value (e.g. 'Company Name: ' with nothing after it).</t>
        </is>
      </c>
      <c r="J133" s="3" t="inlineStr">
        <is>
          <t>REQ-005, REQ-007, REQ-009</t>
        </is>
      </c>
      <c r="K133" s="29" t="inlineStr">
        <is>
          <t>High</t>
        </is>
      </c>
      <c r="L133" s="3" t="inlineStr">
        <is>
          <t>Negative</t>
        </is>
      </c>
      <c r="M133" s="3" t="inlineStr"/>
      <c r="N133" s="29" t="inlineStr">
        <is>
          <t>Not Run</t>
        </is>
      </c>
      <c r="O133" s="3" t="inlineStr"/>
      <c r="P133" s="47" t="inlineStr"/>
      <c r="Q133" s="3" t="inlineStr"/>
      <c r="R133" s="3" t="inlineStr"/>
      <c r="S133" s="3" t="inlineStr">
        <is>
          <t>Brackets kept around a filled value in the letter are Q-07, not a failure here.</t>
        </is>
      </c>
    </row>
    <row r="134" ht="48" customHeight="1">
      <c r="A134" s="29" t="n">
        <v>122</v>
      </c>
      <c r="B134" s="46" t="inlineStr">
        <is>
          <t>CH7-19</t>
        </is>
      </c>
      <c r="C134" s="3" t="inlineStr">
        <is>
          <t>Business Trading (Sabah)</t>
        </is>
      </c>
      <c r="D134" s="29" t="inlineStr">
        <is>
          <t>CH7</t>
        </is>
      </c>
      <c r="E134" s="48" t="inlineStr">
        <is>
          <t>Negative &amp; Regression</t>
        </is>
      </c>
      <c r="F134" s="3" t="inlineStr">
        <is>
          <t>Exactly one of each email per approval (no duplicates)</t>
        </is>
      </c>
      <c r="G134" s="3" t="inlineStr">
        <is>
          <t>CH7-02 passed (Application Approved). Values from the run log (black window) block READY FOR MANUAL EMAIL CHECK and the expected-email file 04-runs/12341_CH7_&lt;run&gt;.md.</t>
        </is>
      </c>
      <c r="H134" s="3" t="inlineStr">
        <is>
          <t>1. Wait 10 minutes after the 'approved' time (Q-16).
2. In Mailtrap, count the emails for this Application by subject.</t>
        </is>
      </c>
      <c r="I134" s="3" t="inlineStr">
        <is>
          <t>1. Exactly 1 × 'RHB Online / Branch Account Opening - …'.
2. Exactly 1 × 'Approved eAuto Registration - …'.</t>
        </is>
      </c>
      <c r="J134" s="3" t="inlineStr">
        <is>
          <t>REQ-001</t>
        </is>
      </c>
      <c r="K134" s="29" t="inlineStr">
        <is>
          <t>Medium</t>
        </is>
      </c>
      <c r="L134" s="3" t="inlineStr">
        <is>
          <t>Negative</t>
        </is>
      </c>
      <c r="M134" s="3" t="inlineStr"/>
      <c r="N134" s="29" t="inlineStr">
        <is>
          <t>Not Run</t>
        </is>
      </c>
      <c r="O134" s="3" t="inlineStr"/>
      <c r="P134" s="47" t="inlineStr"/>
      <c r="Q134" s="3" t="inlineStr"/>
      <c r="R134" s="3" t="inlineStr"/>
      <c r="S134" s="3" t="inlineStr"/>
    </row>
    <row r="135" ht="22" customHeight="1">
      <c r="A135" s="60" t="inlineStr">
        <is>
          <t>BUSINESS TRADING (SARAWAK)   —   1 run(s)</t>
        </is>
      </c>
      <c r="P135" s="52" t="n"/>
    </row>
    <row r="136" ht="18" customHeight="1">
      <c r="A136" s="61" t="inlineStr">
        <is>
          <t>Run CH8  ·  2 directors (typed by the robot)  ·  TIN starts with any valid (Q-20)  ·  Non-SSM, Sarawak. No eSim. Letter registration number expected result is TBC (red).</t>
        </is>
      </c>
      <c r="P136" s="52" t="n"/>
    </row>
    <row r="137" ht="56" customHeight="1">
      <c r="A137" s="29" t="n">
        <v>123</v>
      </c>
      <c r="B137" s="46" t="inlineStr">
        <is>
          <t>CH8-01</t>
        </is>
      </c>
      <c r="C137" s="3" t="inlineStr">
        <is>
          <t>Business Trading (Sarawak)</t>
        </is>
      </c>
      <c r="D137" s="29" t="inlineStr">
        <is>
          <t>CH8</t>
        </is>
      </c>
      <c r="E137" s="36" t="inlineStr">
        <is>
          <t>Setup &amp; Flow</t>
        </is>
      </c>
      <c r="F137" s="3" t="inlineStr">
        <is>
          <t>Test data ready for CH8 — Business Trading (Sarawak) (no eSim)</t>
        </is>
      </c>
      <c r="G137" s="3" t="inlineStr">
        <is>
          <t>Tab '1 Companies' of EAINT-12341_eSim_Setup.xlsx open.</t>
        </is>
      </c>
      <c r="H137" s="3" t="inlineStr">
        <is>
          <t>1. In tab '1 Companies', find the row for CH8.
2. Type the TIN to use in the TIN cell (Q-20).
3. Save and close the Excel.</t>
        </is>
      </c>
      <c r="I137" s="3" t="inlineStr">
        <is>
          <t>1. The TIN cell of the row is filled.
2. The Excel is saved and closed (the robot reads it).</t>
        </is>
      </c>
      <c r="J137" s="3" t="inlineStr">
        <is>
          <t>Test data</t>
        </is>
      </c>
      <c r="K137" s="29" t="inlineStr">
        <is>
          <t>High</t>
        </is>
      </c>
      <c r="L137" s="3" t="inlineStr">
        <is>
          <t>Setup</t>
        </is>
      </c>
      <c r="M137" s="3" t="inlineStr"/>
      <c r="N137" s="29" t="inlineStr">
        <is>
          <t>Not Run</t>
        </is>
      </c>
      <c r="O137" s="3" t="inlineStr"/>
      <c r="P137" s="47" t="inlineStr"/>
      <c r="Q137" s="3" t="inlineStr"/>
      <c r="R137" s="3" t="inlineStr"/>
      <c r="S137" s="3" t="inlineStr"/>
    </row>
    <row r="138" ht="126" customHeight="1">
      <c r="A138" s="29" t="n">
        <v>124</v>
      </c>
      <c r="B138" s="46" t="inlineStr">
        <is>
          <t>CH8-02</t>
        </is>
      </c>
      <c r="C138" s="3" t="inlineStr">
        <is>
          <t>Business Trading (Sarawak)</t>
        </is>
      </c>
      <c r="D138" s="29" t="inlineStr">
        <is>
          <t>CH8</t>
        </is>
      </c>
      <c r="E138" s="36" t="inlineStr">
        <is>
          <t>Setup &amp; Flow</t>
        </is>
      </c>
      <c r="F138" s="3" t="inlineStr">
        <is>
          <t>Robot runs CH8 to Application Approved</t>
        </is>
      </c>
      <c r="G138" s="3" t="inlineStr">
        <is>
          <t>CH8-01 passed. VPN on. Settings file filled. Mailtrap open.</t>
        </is>
      </c>
      <c r="H138" s="3" t="inlineStr">
        <is>
          <t>1. In the automation folder run: npm run ch8.
2. Tick 'I'm not a robot' when the window asks.
3. Pay in the payment window when the window asks.
4. Do not click anything else; wait for the end of the run.
5. Copy the black-window text and keep it with the evidence.</t>
        </is>
      </c>
      <c r="I138" s="3" t="inlineStr">
        <is>
          <t>1. The Pre-Application is created, paid and approved (Pre-Application No P……/….. printed).
2. The Application is submitted and approved by the Approver (Application No NA…….. printed).
3. The window shows 'READY FOR MANUAL EMAIL CHECK' — stopped at Application Approved.
4. An expected-email file is created in 04-runs/.</t>
        </is>
      </c>
      <c r="J138" s="3" t="inlineStr">
        <is>
          <t>REQ-001 (trigger)</t>
        </is>
      </c>
      <c r="K138" s="29" t="inlineStr">
        <is>
          <t>High</t>
        </is>
      </c>
      <c r="L138" s="3" t="inlineStr">
        <is>
          <t>E2E flow (automation)</t>
        </is>
      </c>
      <c r="M138" s="3" t="inlineStr"/>
      <c r="N138" s="29" t="inlineStr">
        <is>
          <t>Not Run</t>
        </is>
      </c>
      <c r="O138" s="3" t="inlineStr"/>
      <c r="P138" s="47" t="inlineStr"/>
      <c r="Q138" s="3" t="inlineStr"/>
      <c r="R138" s="3" t="inlineStr"/>
      <c r="S138" s="3" t="inlineStr"/>
    </row>
    <row r="139" ht="56" customHeight="1">
      <c r="A139" s="29" t="n">
        <v>125</v>
      </c>
      <c r="B139" s="46" t="inlineStr">
        <is>
          <t>CH8-03</t>
        </is>
      </c>
      <c r="C139" s="3" t="inlineStr">
        <is>
          <t>Business Trading (Sarawak)</t>
        </is>
      </c>
      <c r="D139" s="29" t="inlineStr">
        <is>
          <t>CH8</t>
        </is>
      </c>
      <c r="E139" s="36" t="inlineStr">
        <is>
          <t>Setup &amp; Flow</t>
        </is>
      </c>
      <c r="F139" s="3" t="inlineStr">
        <is>
          <t>Pre-Application record shows the Business Trading details</t>
        </is>
      </c>
      <c r="G139" s="3" t="inlineStr">
        <is>
          <t>CH8-02 reached at least Pre-Application approved.</t>
        </is>
      </c>
      <c r="H139" s="3" t="inlineStr">
        <is>
          <t>1. BackOffice &gt; Pre-Application listing: search the Pre-Application No.
2. Open the record.</t>
        </is>
      </c>
      <c r="I139" s="3" t="inlineStr">
        <is>
          <t>1. Business type = Business Trading (Sarawak).
2. The licence number the robot typed is shown.
3. Company name = the run's company name.</t>
        </is>
      </c>
      <c r="J139" s="3" t="inlineStr">
        <is>
          <t>Regression (existing behaviour)</t>
        </is>
      </c>
      <c r="K139" s="29" t="inlineStr">
        <is>
          <t>Medium</t>
        </is>
      </c>
      <c r="L139" s="3" t="inlineStr">
        <is>
          <t>Regression</t>
        </is>
      </c>
      <c r="M139" s="3" t="inlineStr"/>
      <c r="N139" s="29" t="inlineStr">
        <is>
          <t>Not Run</t>
        </is>
      </c>
      <c r="O139" s="3" t="inlineStr"/>
      <c r="P139" s="47" t="inlineStr"/>
      <c r="Q139" s="3" t="inlineStr"/>
      <c r="R139" s="3" t="inlineStr"/>
      <c r="S139" s="3" t="inlineStr"/>
    </row>
    <row r="140" ht="84" customHeight="1">
      <c r="A140" s="29" t="n">
        <v>126</v>
      </c>
      <c r="B140" s="46" t="inlineStr">
        <is>
          <t>CH8-04</t>
        </is>
      </c>
      <c r="C140" s="3" t="inlineStr">
        <is>
          <t>Business Trading (Sarawak)</t>
        </is>
      </c>
      <c r="D140" s="29" t="inlineStr">
        <is>
          <t>CH8</t>
        </is>
      </c>
      <c r="E140" s="48" t="inlineStr">
        <is>
          <t>Negative &amp; Regression</t>
        </is>
      </c>
      <c r="F140" s="3" t="inlineStr">
        <is>
          <t>Pre-Application approval does NOT send the new emails</t>
        </is>
      </c>
      <c r="G140" s="3" t="inlineStr">
        <is>
          <t>CH8-02 reached at least Pre-Application approved.</t>
        </is>
      </c>
      <c r="H140" s="3" t="inlineStr">
        <is>
          <t>1. Take the 'pre-app approved' and 'approved' (or 'submitted') times from the run log.
2. In Mailtrap, list all emails to the run's admin and director email addresses between those two times.</t>
        </is>
      </c>
      <c r="I140" s="3" t="inlineStr">
        <is>
          <t>1. No 'RHB Online / Branch Account Opening' email in that window.
2. No 'Approved eAuto Registration' email in that window.
3. The existing Pre-Application approval email (with the Application link) still arrives as before.</t>
        </is>
      </c>
      <c r="J140" s="3" t="inlineStr">
        <is>
          <t>REQ-001</t>
        </is>
      </c>
      <c r="K140" s="29" t="inlineStr">
        <is>
          <t>Medium</t>
        </is>
      </c>
      <c r="L140" s="3" t="inlineStr">
        <is>
          <t>Negative</t>
        </is>
      </c>
      <c r="M140" s="3" t="inlineStr"/>
      <c r="N140" s="29" t="inlineStr">
        <is>
          <t>Not Run</t>
        </is>
      </c>
      <c r="O140" s="3" t="inlineStr"/>
      <c r="P140" s="47" t="inlineStr"/>
      <c r="Q140" s="3" t="inlineStr"/>
      <c r="R140" s="3" t="inlineStr"/>
      <c r="S140" s="3" t="inlineStr"/>
    </row>
    <row r="141" ht="98" customHeight="1">
      <c r="A141" s="29" t="n">
        <v>127</v>
      </c>
      <c r="B141" s="46" t="inlineStr">
        <is>
          <t>CH8-05</t>
        </is>
      </c>
      <c r="C141" s="3" t="inlineStr">
        <is>
          <t>Business Trading (Sarawak)</t>
        </is>
      </c>
      <c r="D141" s="29" t="inlineStr">
        <is>
          <t>CH8</t>
        </is>
      </c>
      <c r="E141" s="49" t="inlineStr">
        <is>
          <t>Guideline Email (UCD)</t>
        </is>
      </c>
      <c r="F141" s="3" t="inlineStr">
        <is>
          <t>Guideline email is received by the UCD — To and CC</t>
        </is>
      </c>
      <c r="G141" s="3" t="inlineStr">
        <is>
          <t>CH8-02 passed (Application Approved). Values from the run log (black window) block READY FOR MANUAL EMAIL CHECK and the expected-email file 04-runs/12341_CH8_&lt;run&gt;.md.</t>
        </is>
      </c>
      <c r="H141" s="3" t="inlineStr">
        <is>
          <t>1. In Mailtrap, search the admin email and the director email from the run log.
2. Open the email whose subject starts 'RHB Online / Branch Account Opening'.
3. Open its headers (To, CC) and note the received time.</t>
        </is>
      </c>
      <c r="I141" s="3" t="inlineStr">
        <is>
          <t>1. Exactly one such email for this Application.
2. To = the UCD email recorded in the Application — record WHICH address it is (admin or director, Q-04).
3. CC = apply@eauto.my.
4. Received after the 'approved' time in the run log.</t>
        </is>
      </c>
      <c r="J141" s="3" t="inlineStr">
        <is>
          <t>REQ-001, REQ-002</t>
        </is>
      </c>
      <c r="K141" s="29" t="inlineStr">
        <is>
          <t>High</t>
        </is>
      </c>
      <c r="L141" s="3" t="inlineStr">
        <is>
          <t>Functional</t>
        </is>
      </c>
      <c r="M141" s="3" t="inlineStr"/>
      <c r="N141" s="29" t="inlineStr">
        <is>
          <t>Not Run</t>
        </is>
      </c>
      <c r="O141" s="3" t="inlineStr"/>
      <c r="P141" s="47" t="inlineStr"/>
      <c r="Q141" s="3" t="inlineStr"/>
      <c r="R141" s="3" t="inlineStr"/>
      <c r="S141" s="3" t="inlineStr">
        <is>
          <t>Sender (From) not checked — still pending Operations (Q-12).</t>
        </is>
      </c>
    </row>
    <row r="142" ht="84" customHeight="1">
      <c r="A142" s="29" t="n">
        <v>128</v>
      </c>
      <c r="B142" s="46" t="inlineStr">
        <is>
          <t>CH8-06</t>
        </is>
      </c>
      <c r="C142" s="3" t="inlineStr">
        <is>
          <t>Business Trading (Sarawak)</t>
        </is>
      </c>
      <c r="D142" s="29" t="inlineStr">
        <is>
          <t>CH8</t>
        </is>
      </c>
      <c r="E142" s="49" t="inlineStr">
        <is>
          <t>Guideline Email (UCD)</t>
        </is>
      </c>
      <c r="F142" s="3" t="inlineStr">
        <is>
          <t>Guideline email subject</t>
        </is>
      </c>
      <c r="G142" s="3" t="inlineStr">
        <is>
          <t>CH8-02 passed (Application Approved). Values from the run log (black window) block READY FOR MANUAL EMAIL CHECK and the expected-email file 04-runs/12341_CH8_&lt;run&gt;.md.</t>
        </is>
      </c>
      <c r="H142" s="3" t="inlineStr">
        <is>
          <t>1. Open the guideline email.
2. Read the subject exactly as shown.</t>
        </is>
      </c>
      <c r="I142" s="3" t="inlineStr">
        <is>
          <t>1. Subject = 'RHB Online / Branch Account Opening - &lt;Application No&gt; - &lt;Company Name&gt;'.
2. &lt;Application No&gt; = the NA number in the run log; &lt;Company Name&gt; = the run's company name.
3. Not the old v1.1 subjects 'RHB Online Account Opening - …' or 'RHB Branch Account Opening - …'.</t>
        </is>
      </c>
      <c r="J142" s="3" t="inlineStr">
        <is>
          <t>REQ-005</t>
        </is>
      </c>
      <c r="K142" s="29" t="inlineStr">
        <is>
          <t>High</t>
        </is>
      </c>
      <c r="L142" s="3" t="inlineStr">
        <is>
          <t>Functional</t>
        </is>
      </c>
      <c r="M142" s="3" t="inlineStr"/>
      <c r="N142" s="29" t="inlineStr">
        <is>
          <t>Not Run</t>
        </is>
      </c>
      <c r="O142" s="3" t="inlineStr"/>
      <c r="P142" s="47" t="inlineStr"/>
      <c r="Q142" s="3" t="inlineStr"/>
      <c r="R142" s="3" t="inlineStr"/>
      <c r="S142" s="3" t="inlineStr"/>
    </row>
    <row r="143" ht="168" customHeight="1">
      <c r="A143" s="29" t="n">
        <v>129</v>
      </c>
      <c r="B143" s="46" t="inlineStr">
        <is>
          <t>CH8-07</t>
        </is>
      </c>
      <c r="C143" s="3" t="inlineStr">
        <is>
          <t>Business Trading (Sarawak)</t>
        </is>
      </c>
      <c r="D143" s="29" t="inlineStr">
        <is>
          <t>CH8</t>
        </is>
      </c>
      <c r="E143" s="49" t="inlineStr">
        <is>
          <t>Guideline Email (UCD)</t>
        </is>
      </c>
      <c r="F143" s="3" t="inlineStr">
        <is>
          <t>Guideline email body — same combined template (online + branch options)</t>
        </is>
      </c>
      <c r="G143" s="3" t="inlineStr">
        <is>
          <t>CH8-02 passed (Application Approved). Values from the run log (black window) block READY FOR MANUAL EMAIL CHECK and the expected-email file 04-runs/12341_CH8_&lt;run&gt;.md.</t>
        </is>
      </c>
      <c r="H143" s="3" t="inlineStr">
        <is>
          <t>1. Open the email body (HTML view).
2. Compare paragraph by paragraph with sheet 'Expected Templates' → 'Email Template 1 — Body' (or the 04-runs file).
3. Check the Text view too if Mailtrap shows one.</t>
        </is>
      </c>
      <c r="I143" s="3" t="inlineStr">
        <is>
          <t>1. Every paragraph present, in order, same wording.
2. Application No and Company Name show the run's values.
3. Contains 'within three (3) working days', 'Option 1 – Online Account Opening' (with the four (4) users note and seven (7) days) and 'Option 2 – Account Opening at RHB Branch'.
4. Ends with the signature block (Thank you / Best regards / eAuto Sdn Bhd / address / Customer Service / WhatsApp) — Q-01.
5. Does NOT contain 'As your company meets the eligibility requirements…' nor 'Please bring the documents provided by RHB…'.</t>
        </is>
      </c>
      <c r="J143" s="3" t="inlineStr">
        <is>
          <t>REQ-005</t>
        </is>
      </c>
      <c r="K143" s="29" t="inlineStr">
        <is>
          <t>High</t>
        </is>
      </c>
      <c r="L143" s="3" t="inlineStr">
        <is>
          <t>Functional</t>
        </is>
      </c>
      <c r="M143" s="3" t="inlineStr"/>
      <c r="N143" s="29" t="inlineStr">
        <is>
          <t>Not Run</t>
        </is>
      </c>
      <c r="O143" s="3" t="inlineStr"/>
      <c r="P143" s="47" t="inlineStr"/>
      <c r="Q143" s="3" t="inlineStr"/>
      <c r="R143" s="3" t="inlineStr"/>
      <c r="S143" s="3" t="inlineStr">
        <is>
          <t>Same expected text for every business type — REQ-005 Example 1 and Example 2 both send Email Template 1. Non-SSM, Sarawak. No eSim. Letter registration number expected result is TBC (red).</t>
        </is>
      </c>
    </row>
    <row r="144" ht="56" customHeight="1">
      <c r="A144" s="29" t="n">
        <v>130</v>
      </c>
      <c r="B144" s="46" t="inlineStr">
        <is>
          <t>CH8-08</t>
        </is>
      </c>
      <c r="C144" s="3" t="inlineStr">
        <is>
          <t>Business Trading (Sarawak)</t>
        </is>
      </c>
      <c r="D144" s="29" t="inlineStr">
        <is>
          <t>CH8</t>
        </is>
      </c>
      <c r="E144" s="49" t="inlineStr">
        <is>
          <t>Guideline Email (UCD)</t>
        </is>
      </c>
      <c r="F144" s="3" t="inlineStr">
        <is>
          <t>Links in the guideline email</t>
        </is>
      </c>
      <c r="G144" s="3" t="inlineStr">
        <is>
          <t>CH8-02 passed (Application Approved). Values from the run log (black window) block READY FOR MANUAL EMAIL CHECK and the expected-email file 04-runs/12341_CH8_&lt;run&gt;.md.</t>
        </is>
      </c>
      <c r="H144" s="3" t="inlineStr">
        <is>
          <t>1. Hover over the link under 'Option 1 – Online Account Opening' and note the target.
2. Hover over the Application Link near the end.</t>
        </is>
      </c>
      <c r="I144" s="3" t="inlineStr">
        <is>
          <t>1. Option 1 link target = https://smecaonline.rhbgroup.com/sme/online?tag=campaign.
2. The Application Link is a clickable URL, not the text '[Application Link]'.</t>
        </is>
      </c>
      <c r="J144" s="3" t="inlineStr">
        <is>
          <t>REQ-005</t>
        </is>
      </c>
      <c r="K144" s="29" t="inlineStr">
        <is>
          <t>Medium</t>
        </is>
      </c>
      <c r="L144" s="3" t="inlineStr">
        <is>
          <t>Functional</t>
        </is>
      </c>
      <c r="M144" s="3" t="inlineStr"/>
      <c r="N144" s="29" t="inlineStr">
        <is>
          <t>Not Run</t>
        </is>
      </c>
      <c r="O144" s="3" t="inlineStr"/>
      <c r="P144" s="47" t="inlineStr"/>
      <c r="Q144" s="3" t="inlineStr"/>
      <c r="R144" s="3" t="inlineStr"/>
      <c r="S144" s="3" t="inlineStr">
        <is>
          <t>Where the Application Link must land is not in the SRD (Q-03).</t>
        </is>
      </c>
    </row>
    <row r="145" ht="98" customHeight="1">
      <c r="A145" s="29" t="n">
        <v>131</v>
      </c>
      <c r="B145" s="46" t="inlineStr">
        <is>
          <t>CH8-09</t>
        </is>
      </c>
      <c r="C145" s="3" t="inlineStr">
        <is>
          <t>Business Trading (Sarawak)</t>
        </is>
      </c>
      <c r="D145" s="29" t="inlineStr">
        <is>
          <t>CH8</t>
        </is>
      </c>
      <c r="E145" s="49" t="inlineStr">
        <is>
          <t>Guideline Email (UCD)</t>
        </is>
      </c>
      <c r="F145" s="3" t="inlineStr">
        <is>
          <t>Appointment Letter attached to the guideline email</t>
        </is>
      </c>
      <c r="G145" s="3" t="inlineStr">
        <is>
          <t>CH8-02 passed (Application Approved). Values from the run log (black window) block READY FOR MANUAL EMAIL CHECK and the expected-email file 04-runs/12341_CH8_&lt;run&gt;.md.</t>
        </is>
      </c>
      <c r="H145" s="3" t="inlineStr">
        <is>
          <t>1. Open the Attachments tab of the guideline email.
2. Note file name, type and size.
3. Download and open it.</t>
        </is>
      </c>
      <c r="I145" s="3" t="inlineStr">
        <is>
          <t>1. Exactly one attachment: the Appointment Letter.
2. It opens without error.
3. It is for THIS Application (company name and Application No match).
4. No Offer Letter, Direct Debit form or Board of Resolution attached.</t>
        </is>
      </c>
      <c r="J145" s="3" t="inlineStr">
        <is>
          <t>REQ-008</t>
        </is>
      </c>
      <c r="K145" s="29" t="inlineStr">
        <is>
          <t>High</t>
        </is>
      </c>
      <c r="L145" s="3" t="inlineStr">
        <is>
          <t>Functional</t>
        </is>
      </c>
      <c r="M145" s="3" t="inlineStr"/>
      <c r="N145" s="29" t="inlineStr">
        <is>
          <t>Not Run</t>
        </is>
      </c>
      <c r="O145" s="3" t="inlineStr"/>
      <c r="P145" s="47" t="inlineStr"/>
      <c r="Q145" s="3" t="inlineStr"/>
      <c r="R145" s="3" t="inlineStr"/>
      <c r="S145" s="3" t="inlineStr">
        <is>
          <t>File type and name not specified (Q-08) — record them.</t>
        </is>
      </c>
    </row>
    <row r="146" ht="56" customHeight="1">
      <c r="A146" s="29" t="n">
        <v>132</v>
      </c>
      <c r="B146" s="46" t="inlineStr">
        <is>
          <t>CH8-10</t>
        </is>
      </c>
      <c r="C146" s="3" t="inlineStr">
        <is>
          <t>Business Trading (Sarawak)</t>
        </is>
      </c>
      <c r="D146" s="29" t="inlineStr">
        <is>
          <t>CH8</t>
        </is>
      </c>
      <c r="E146" s="49" t="inlineStr">
        <is>
          <t>Guideline Email (UCD)</t>
        </is>
      </c>
      <c r="F146" s="3" t="inlineStr">
        <is>
          <t>Removed templates are not sent</t>
        </is>
      </c>
      <c r="G146" s="3" t="inlineStr">
        <is>
          <t>CH8-02 passed (Application Approved). Values from the run log (black window) block READY FOR MANUAL EMAIL CHECK and the expected-email file 04-runs/12341_CH8_&lt;run&gt;.md.</t>
        </is>
      </c>
      <c r="H146" s="3" t="inlineStr">
        <is>
          <t>1. In Mailtrap, list every email to the run's addresses after the 'approved' time.</t>
        </is>
      </c>
      <c r="I146" s="3" t="inlineStr">
        <is>
          <t>1. No email with subject 'RHB Branch Account Opening - …' (old Email Template 2).
2. No email with subject 'RHB Online Account Opening - …' without '/ Branch' (old Email Template 1).</t>
        </is>
      </c>
      <c r="J146" s="3" t="inlineStr">
        <is>
          <t>REQ-003 / REQ-004 removed, REQ-005</t>
        </is>
      </c>
      <c r="K146" s="29" t="inlineStr">
        <is>
          <t>Medium</t>
        </is>
      </c>
      <c r="L146" s="3" t="inlineStr">
        <is>
          <t>Negative</t>
        </is>
      </c>
      <c r="M146" s="3" t="inlineStr"/>
      <c r="N146" s="29" t="inlineStr">
        <is>
          <t>Not Run</t>
        </is>
      </c>
      <c r="O146" s="3" t="inlineStr"/>
      <c r="P146" s="47" t="inlineStr"/>
      <c r="Q146" s="3" t="inlineStr"/>
      <c r="R146" s="3" t="inlineStr"/>
      <c r="S146" s="3" t="inlineStr"/>
    </row>
    <row r="147" ht="98" customHeight="1">
      <c r="A147" s="29" t="n">
        <v>133</v>
      </c>
      <c r="B147" s="46" t="inlineStr">
        <is>
          <t>CH8-11</t>
        </is>
      </c>
      <c r="C147" s="3" t="inlineStr">
        <is>
          <t>Business Trading (Sarawak)</t>
        </is>
      </c>
      <c r="D147" s="29" t="inlineStr">
        <is>
          <t>CH8</t>
        </is>
      </c>
      <c r="E147" s="50" t="inlineStr">
        <is>
          <t>RHB Support Email</t>
        </is>
      </c>
      <c r="F147" s="3" t="inlineStr">
        <is>
          <t>RHB Support email — To and CC</t>
        </is>
      </c>
      <c r="G147" s="3" t="inlineStr">
        <is>
          <t>CH8-02 passed (Application Approved). Values from the run log (black window) block READY FOR MANUAL EMAIL CHECK and the expected-email file 04-runs/12341_CH8_&lt;run&gt;.md.</t>
        </is>
      </c>
      <c r="H147" s="3" t="inlineStr">
        <is>
          <t>1. In Mailtrap, search the run's admin / director email (it is in CC of this email).
2. Open the email whose subject starts 'Approved eAuto Registration'.
3. Open its headers.</t>
        </is>
      </c>
      <c r="I147" s="3" t="inlineStr">
        <is>
          <t>1. To = BIS.Support@rhbgroup.com.
2. CC contains the UCD email recorded in the Application AND apply@eauto.my.
3. Received after the 'approved' time.
4. The email is in Mailtrap only — nothing reached RHB (Q-17).</t>
        </is>
      </c>
      <c r="J147" s="3" t="inlineStr">
        <is>
          <t>REQ-006</t>
        </is>
      </c>
      <c r="K147" s="29" t="inlineStr">
        <is>
          <t>High</t>
        </is>
      </c>
      <c r="L147" s="3" t="inlineStr">
        <is>
          <t>Functional</t>
        </is>
      </c>
      <c r="M147" s="3" t="inlineStr"/>
      <c r="N147" s="29" t="inlineStr">
        <is>
          <t>Not Run</t>
        </is>
      </c>
      <c r="O147" s="3" t="inlineStr"/>
      <c r="P147" s="47" t="inlineStr"/>
      <c r="Q147" s="3" t="inlineStr"/>
      <c r="R147" s="3" t="inlineStr"/>
      <c r="S147" s="3" t="inlineStr"/>
    </row>
    <row r="148" ht="84" customHeight="1">
      <c r="A148" s="29" t="n">
        <v>134</v>
      </c>
      <c r="B148" s="59" t="inlineStr">
        <is>
          <t>CH8-12</t>
        </is>
      </c>
      <c r="C148" s="3" t="inlineStr">
        <is>
          <t>Business Trading (Sarawak)</t>
        </is>
      </c>
      <c r="D148" s="29" t="inlineStr">
        <is>
          <t>CH8</t>
        </is>
      </c>
      <c r="E148" s="50" t="inlineStr">
        <is>
          <t>RHB Support Email</t>
        </is>
      </c>
      <c r="F148" s="3" t="inlineStr">
        <is>
          <t>RHB Support email subject</t>
        </is>
      </c>
      <c r="G148" s="3" t="inlineStr">
        <is>
          <t>CH8-02 passed (Application Approved). Values from the run log (black window) block READY FOR MANUAL EMAIL CHECK and the expected-email file 04-runs/12341_CH8_&lt;run&gt;.md.</t>
        </is>
      </c>
      <c r="H148" s="3" t="inlineStr">
        <is>
          <t>1. Open the RHB Support email.
2. Read the subject.</t>
        </is>
      </c>
      <c r="I148" s="3" t="inlineStr">
        <is>
          <t>1. Subject = 'Approved eAuto Registration - &lt;Company Name&gt; - &lt;BRN Number&gt;'.
2. &lt;Company Name&gt; = the run's company name.
3. &lt;BRN Number&gt; = the number agreed in Q-05 (SRD example shows the 12-digit new number) — record which one.</t>
        </is>
      </c>
      <c r="J148" s="3" t="inlineStr">
        <is>
          <t>REQ-009</t>
        </is>
      </c>
      <c r="K148" s="29" t="inlineStr">
        <is>
          <t>High</t>
        </is>
      </c>
      <c r="L148" s="3" t="inlineStr">
        <is>
          <t>Functional</t>
        </is>
      </c>
      <c r="M148" s="3" t="inlineStr"/>
      <c r="N148" s="29" t="inlineStr">
        <is>
          <t>Not Run</t>
        </is>
      </c>
      <c r="O148" s="3" t="inlineStr"/>
      <c r="P148" s="47" t="inlineStr"/>
      <c r="Q148" s="3" t="inlineStr"/>
      <c r="R148" s="3" t="inlineStr"/>
      <c r="S148" s="3" t="inlineStr">
        <is>
          <t>Business Trading: what replaces the BRN is TBC (Q-05 / Q-09).</t>
        </is>
      </c>
    </row>
    <row r="149" ht="112" customHeight="1">
      <c r="A149" s="29" t="n">
        <v>135</v>
      </c>
      <c r="B149" s="46" t="inlineStr">
        <is>
          <t>CH8-13</t>
        </is>
      </c>
      <c r="C149" s="3" t="inlineStr">
        <is>
          <t>Business Trading (Sarawak)</t>
        </is>
      </c>
      <c r="D149" s="29" t="inlineStr">
        <is>
          <t>CH8</t>
        </is>
      </c>
      <c r="E149" s="50" t="inlineStr">
        <is>
          <t>RHB Support Email</t>
        </is>
      </c>
      <c r="F149" s="3" t="inlineStr">
        <is>
          <t>RHB Support email body — values and wording</t>
        </is>
      </c>
      <c r="G149" s="3" t="inlineStr">
        <is>
          <t>CH8-02 passed (Application Approved). Values from the run log (black window) block READY FOR MANUAL EMAIL CHECK and the expected-email file 04-runs/12341_CH8_&lt;run&gt;.md.</t>
        </is>
      </c>
      <c r="H149" s="3" t="inlineStr">
        <is>
          <t>1. Open the body.
2. Compare with sheet 'Expected Templates' → 'Email Template 3 — Body'.
3. Compare each value line with the Application.</t>
        </is>
      </c>
      <c r="I149" s="3" t="inlineStr">
        <is>
          <t>1. Every paragraph present, in order, same wording (1 working day request, Reply All instruction, signature block).
2. Company Name / Business Registration Number / UCD Contact Person / Contact Number / Email Address show the Application's values (which contact: Q-04).
3. Does NOT contain 'The above company is not eligible for RHB's online account-opening process…'.</t>
        </is>
      </c>
      <c r="J149" s="3" t="inlineStr">
        <is>
          <t>REQ-009</t>
        </is>
      </c>
      <c r="K149" s="29" t="inlineStr">
        <is>
          <t>High</t>
        </is>
      </c>
      <c r="L149" s="3" t="inlineStr">
        <is>
          <t>Functional</t>
        </is>
      </c>
      <c r="M149" s="3" t="inlineStr"/>
      <c r="N149" s="29" t="inlineStr">
        <is>
          <t>Not Run</t>
        </is>
      </c>
      <c r="O149" s="3" t="inlineStr"/>
      <c r="P149" s="47" t="inlineStr"/>
      <c r="Q149" s="3" t="inlineStr"/>
      <c r="R149" s="3" t="inlineStr"/>
      <c r="S149" s="3" t="inlineStr">
        <is>
          <t>The robot uses different name / mobile / email for Admin and Director, so this email shows which one the system takes (Q-04).</t>
        </is>
      </c>
    </row>
    <row r="150" ht="48" customHeight="1">
      <c r="A150" s="29" t="n">
        <v>136</v>
      </c>
      <c r="B150" s="46" t="inlineStr">
        <is>
          <t>CH8-14</t>
        </is>
      </c>
      <c r="C150" s="3" t="inlineStr">
        <is>
          <t>Business Trading (Sarawak)</t>
        </is>
      </c>
      <c r="D150" s="29" t="inlineStr">
        <is>
          <t>CH8</t>
        </is>
      </c>
      <c r="E150" s="50" t="inlineStr">
        <is>
          <t>RHB Support Email</t>
        </is>
      </c>
      <c r="F150" s="3" t="inlineStr">
        <is>
          <t>Appointment Letter attached to the RHB Support email</t>
        </is>
      </c>
      <c r="G150" s="3" t="inlineStr">
        <is>
          <t>CH8-02 passed (Application Approved). Values from the run log (black window) block READY FOR MANUAL EMAIL CHECK and the expected-email file 04-runs/12341_CH8_&lt;run&gt;.md.</t>
        </is>
      </c>
      <c r="H150" s="3" t="inlineStr">
        <is>
          <t>1. Open the Attachments tab.
2. Download and open the attachment.</t>
        </is>
      </c>
      <c r="I150" s="3" t="inlineStr">
        <is>
          <t>1. Exactly one attachment: the Appointment Letter for THIS Application.
2. It opens without error.</t>
        </is>
      </c>
      <c r="J150" s="3" t="inlineStr">
        <is>
          <t>REQ-008</t>
        </is>
      </c>
      <c r="K150" s="29" t="inlineStr">
        <is>
          <t>High</t>
        </is>
      </c>
      <c r="L150" s="3" t="inlineStr">
        <is>
          <t>Functional</t>
        </is>
      </c>
      <c r="M150" s="3" t="inlineStr"/>
      <c r="N150" s="29" t="inlineStr">
        <is>
          <t>Not Run</t>
        </is>
      </c>
      <c r="O150" s="3" t="inlineStr"/>
      <c r="P150" s="47" t="inlineStr"/>
      <c r="Q150" s="3" t="inlineStr"/>
      <c r="R150" s="3" t="inlineStr"/>
      <c r="S150" s="3" t="inlineStr"/>
    </row>
    <row r="151" ht="196" customHeight="1">
      <c r="A151" s="29" t="n">
        <v>137</v>
      </c>
      <c r="B151" s="46" t="inlineStr">
        <is>
          <t>CH8-15</t>
        </is>
      </c>
      <c r="C151" s="3" t="inlineStr">
        <is>
          <t>Business Trading (Sarawak)</t>
        </is>
      </c>
      <c r="D151" s="29" t="inlineStr">
        <is>
          <t>CH8</t>
        </is>
      </c>
      <c r="E151" s="51" t="inlineStr">
        <is>
          <t>Appointment Letter</t>
        </is>
      </c>
      <c r="F151" s="3" t="inlineStr">
        <is>
          <t>Appointment Letter layout and fixed text</t>
        </is>
      </c>
      <c r="G151" s="3" t="inlineStr">
        <is>
          <t>CH8-02 passed (Application Approved). Values from the run log (black window) block READY FOR MANUAL EMAIL CHECK and the expected-email file 04-runs/12341_CH8_&lt;run&gt;.md.</t>
        </is>
      </c>
      <c r="H151" s="3" t="inlineStr">
        <is>
          <t>1. Open the letter from the guideline email.
2. Compare with sheet 'Expected Templates' → 'Appointment Letter' and with Sample_Appointment_Letter_v2.0.
3. Check header, body, signature and footer on every page.</t>
        </is>
      </c>
      <c r="I151" s="3" t="inlineStr">
        <is>
          <t>1. Title 'LETTER OF CONFIRMATION OF REGISTRATION AS A USED CAR DEALER (UCD) UNDER eAUTO SDN. BHD. PLATFORM' (spacing: Q-10).
2. Letterhead: eAuto logo, 'eAuto Sdn Bhd 200401038456 (676967-T)', address, 'Tel: 03-2779 8893'.
3. Clauses 1–8 numbered, wording as the template; Clause 6 refers to 'Clause 5'.
4. Registration details table (UCD Name / Company Registration No. / UCD / Dealer Reference No.).
5. Signature image, 'CHIA KET MING', 'COO'; footer 'Website: www.eauto.my | Customer Service: 03-2779 8899 | Email: support@eauto.my'.
6. No layout break (cut text, overlap, blank page).</t>
        </is>
      </c>
      <c r="J151" s="3" t="inlineStr">
        <is>
          <t>REQ-007</t>
        </is>
      </c>
      <c r="K151" s="29" t="inlineStr">
        <is>
          <t>Medium</t>
        </is>
      </c>
      <c r="L151" s="3" t="inlineStr">
        <is>
          <t>Functional</t>
        </is>
      </c>
      <c r="M151" s="3" t="inlineStr"/>
      <c r="N151" s="29" t="inlineStr">
        <is>
          <t>Not Run</t>
        </is>
      </c>
      <c r="O151" s="3" t="inlineStr"/>
      <c r="P151" s="47" t="inlineStr"/>
      <c r="Q151" s="3" t="inlineStr"/>
      <c r="R151" s="3" t="inlineStr"/>
      <c r="S151" s="3" t="inlineStr"/>
    </row>
    <row r="152" ht="182" customHeight="1">
      <c r="A152" s="29" t="n">
        <v>138</v>
      </c>
      <c r="B152" s="59" t="inlineStr">
        <is>
          <t>CH8-16</t>
        </is>
      </c>
      <c r="C152" s="3" t="inlineStr">
        <is>
          <t>Business Trading (Sarawak)</t>
        </is>
      </c>
      <c r="D152" s="29" t="inlineStr">
        <is>
          <t>CH8</t>
        </is>
      </c>
      <c r="E152" s="51" t="inlineStr">
        <is>
          <t>Appointment Letter</t>
        </is>
      </c>
      <c r="F152" s="3" t="inlineStr">
        <is>
          <t>Appointment Letter pre-filled values</t>
        </is>
      </c>
      <c r="G152" s="3" t="inlineStr">
        <is>
          <t>CH8-02 passed (Application Approved). Values from the run log (black window) block READY FOR MANUAL EMAIL CHECK and the expected-email file 04-runs/12341_CH8_&lt;run&gt;.md. SSM details from CH8-03.</t>
        </is>
      </c>
      <c r="H152" s="3" t="inlineStr">
        <is>
          <t>1. Open the letter.
2. Compare each value with its source (run log, Application, Pre-Application SSM details).</t>
        </is>
      </c>
      <c r="I152" s="3" t="inlineStr">
        <is>
          <t>1. Date = Application approval date, DD/MM/YYYY.
2. Our Ref = eAuto/OPS/UCD/&lt;Application No&gt;/&lt;approval year&gt; (square brackets: Q-07).
3. UCD Company Name = the Application's company name (recipient block, Clause 1, Clause 4).
4. Company Registration No. = TBC — no SSM details for Business Trading (Q-09) — identical in recipient block, Clause 1 and Clause 4.
5. Company Address = the Application's company address (which field: Q-06).
6. UCD / Dealer Reference No. = '&lt;Pre-Application No&gt; / &lt;Application No&gt;'.</t>
        </is>
      </c>
      <c r="J152" s="3" t="inlineStr">
        <is>
          <t>REQ-007</t>
        </is>
      </c>
      <c r="K152" s="29" t="inlineStr">
        <is>
          <t>High</t>
        </is>
      </c>
      <c r="L152" s="3" t="inlineStr">
        <is>
          <t>Functional</t>
        </is>
      </c>
      <c r="M152" s="3" t="inlineStr"/>
      <c r="N152" s="29" t="inlineStr">
        <is>
          <t>Not Run</t>
        </is>
      </c>
      <c r="O152" s="3" t="inlineStr"/>
      <c r="P152" s="47" t="inlineStr"/>
      <c r="Q152" s="3" t="inlineStr"/>
      <c r="R152" s="3" t="inlineStr"/>
      <c r="S152" s="3" t="inlineStr">
        <is>
          <t>RED: registration number for Business Trading is TBC (Q-09).</t>
        </is>
      </c>
    </row>
    <row r="153" ht="48" customHeight="1">
      <c r="A153" s="29" t="n">
        <v>139</v>
      </c>
      <c r="B153" s="46" t="inlineStr">
        <is>
          <t>CH8-17</t>
        </is>
      </c>
      <c r="C153" s="3" t="inlineStr">
        <is>
          <t>Business Trading (Sarawak)</t>
        </is>
      </c>
      <c r="D153" s="29" t="inlineStr">
        <is>
          <t>CH8</t>
        </is>
      </c>
      <c r="E153" s="51" t="inlineStr">
        <is>
          <t>Appointment Letter</t>
        </is>
      </c>
      <c r="F153" s="3" t="inlineStr">
        <is>
          <t>Same Appointment Letter on both emails</t>
        </is>
      </c>
      <c r="G153" s="3" t="inlineStr">
        <is>
          <t>CH8-02 passed (Application Approved). Values from the run log (black window) block READY FOR MANUAL EMAIL CHECK and the expected-email file 04-runs/12341_CH8_&lt;run&gt;.md.</t>
        </is>
      </c>
      <c r="H153" s="3" t="inlineStr">
        <is>
          <t>1. Download the attachment of the guideline email and of the RHB Support email.
2. Compare them.</t>
        </is>
      </c>
      <c r="I153" s="3" t="inlineStr">
        <is>
          <t>1. Same file name and size.
2. Same Our Ref, date, company, registration number and reference numbers.</t>
        </is>
      </c>
      <c r="J153" s="3" t="inlineStr">
        <is>
          <t>REQ-008</t>
        </is>
      </c>
      <c r="K153" s="29" t="inlineStr">
        <is>
          <t>Medium</t>
        </is>
      </c>
      <c r="L153" s="3" t="inlineStr">
        <is>
          <t>Functional</t>
        </is>
      </c>
      <c r="M153" s="3" t="inlineStr"/>
      <c r="N153" s="29" t="inlineStr">
        <is>
          <t>Not Run</t>
        </is>
      </c>
      <c r="O153" s="3" t="inlineStr"/>
      <c r="P153" s="47" t="inlineStr"/>
      <c r="Q153" s="3" t="inlineStr"/>
      <c r="R153" s="3" t="inlineStr"/>
      <c r="S153" s="3" t="inlineStr"/>
    </row>
    <row r="154" ht="98" customHeight="1">
      <c r="A154" s="29" t="n">
        <v>140</v>
      </c>
      <c r="B154" s="46" t="inlineStr">
        <is>
          <t>CH8-18</t>
        </is>
      </c>
      <c r="C154" s="3" t="inlineStr">
        <is>
          <t>Business Trading (Sarawak)</t>
        </is>
      </c>
      <c r="D154" s="29" t="inlineStr">
        <is>
          <t>CH8</t>
        </is>
      </c>
      <c r="E154" s="48" t="inlineStr">
        <is>
          <t>Negative &amp; Regression</t>
        </is>
      </c>
      <c r="F154" s="3" t="inlineStr">
        <is>
          <t>No unresolved placeholders anywhere</t>
        </is>
      </c>
      <c r="G154" s="3" t="inlineStr">
        <is>
          <t>CH8-02 passed (Application Approved). Values from the run log (black window) block READY FOR MANUAL EMAIL CHECK and the expected-email file 04-runs/12341_CH8_&lt;run&gt;.md.</t>
        </is>
      </c>
      <c r="H154" s="3" t="inlineStr">
        <is>
          <t>1. In both emails, search the subject and body for '[' and ']'.
2. In the letter, search for '[' and ']'.</t>
        </is>
      </c>
      <c r="I154" s="3" t="inlineStr">
        <is>
          <t>1. None of these appear literally: [Application No], [Company Name], [BRN Number], [Name], [Contact Number], [UCD Email Address], [RHB Online Registration Link], [Application Link], [DD/MM/YYYY], [YYYY], [UCD Company Name], [Old BRN], [New BRN], [Company Address], [Pre-Application No].
2. No empty value (e.g. 'Company Name: ' with nothing after it).</t>
        </is>
      </c>
      <c r="J154" s="3" t="inlineStr">
        <is>
          <t>REQ-005, REQ-007, REQ-009</t>
        </is>
      </c>
      <c r="K154" s="29" t="inlineStr">
        <is>
          <t>High</t>
        </is>
      </c>
      <c r="L154" s="3" t="inlineStr">
        <is>
          <t>Negative</t>
        </is>
      </c>
      <c r="M154" s="3" t="inlineStr"/>
      <c r="N154" s="29" t="inlineStr">
        <is>
          <t>Not Run</t>
        </is>
      </c>
      <c r="O154" s="3" t="inlineStr"/>
      <c r="P154" s="47" t="inlineStr"/>
      <c r="Q154" s="3" t="inlineStr"/>
      <c r="R154" s="3" t="inlineStr"/>
      <c r="S154" s="3" t="inlineStr">
        <is>
          <t>Brackets kept around a filled value in the letter are Q-07, not a failure here.</t>
        </is>
      </c>
    </row>
    <row r="155" ht="48" customHeight="1">
      <c r="A155" s="29" t="n">
        <v>141</v>
      </c>
      <c r="B155" s="46" t="inlineStr">
        <is>
          <t>CH8-19</t>
        </is>
      </c>
      <c r="C155" s="3" t="inlineStr">
        <is>
          <t>Business Trading (Sarawak)</t>
        </is>
      </c>
      <c r="D155" s="29" t="inlineStr">
        <is>
          <t>CH8</t>
        </is>
      </c>
      <c r="E155" s="48" t="inlineStr">
        <is>
          <t>Negative &amp; Regression</t>
        </is>
      </c>
      <c r="F155" s="3" t="inlineStr">
        <is>
          <t>Exactly one of each email per approval (no duplicates)</t>
        </is>
      </c>
      <c r="G155" s="3" t="inlineStr">
        <is>
          <t>CH8-02 passed (Application Approved). Values from the run log (black window) block READY FOR MANUAL EMAIL CHECK and the expected-email file 04-runs/12341_CH8_&lt;run&gt;.md.</t>
        </is>
      </c>
      <c r="H155" s="3" t="inlineStr">
        <is>
          <t>1. Wait 10 minutes after the 'approved' time (Q-16).
2. In Mailtrap, count the emails for this Application by subject.</t>
        </is>
      </c>
      <c r="I155" s="3" t="inlineStr">
        <is>
          <t>1. Exactly 1 × 'RHB Online / Branch Account Opening - …'.
2. Exactly 1 × 'Approved eAuto Registration - …'.</t>
        </is>
      </c>
      <c r="J155" s="3" t="inlineStr">
        <is>
          <t>REQ-001</t>
        </is>
      </c>
      <c r="K155" s="29" t="inlineStr">
        <is>
          <t>Medium</t>
        </is>
      </c>
      <c r="L155" s="3" t="inlineStr">
        <is>
          <t>Negative</t>
        </is>
      </c>
      <c r="M155" s="3" t="inlineStr"/>
      <c r="N155" s="29" t="inlineStr">
        <is>
          <t>Not Run</t>
        </is>
      </c>
      <c r="O155" s="3" t="inlineStr"/>
      <c r="P155" s="47" t="inlineStr"/>
      <c r="Q155" s="3" t="inlineStr"/>
      <c r="R155" s="3" t="inlineStr"/>
      <c r="S155" s="3" t="inlineStr"/>
    </row>
  </sheetData>
  <autoFilter ref="A1:S155"/>
  <mergeCells count="13">
    <mergeCell ref="A25:S25"/>
    <mergeCell ref="A45:S45"/>
    <mergeCell ref="A46:S46"/>
    <mergeCell ref="A93:S93"/>
    <mergeCell ref="A115:S115"/>
    <mergeCell ref="A66:S66"/>
    <mergeCell ref="A94:S94"/>
    <mergeCell ref="A135:S135"/>
    <mergeCell ref="A3:S3"/>
    <mergeCell ref="A136:S136"/>
    <mergeCell ref="A114:S114"/>
    <mergeCell ref="A2:S2"/>
    <mergeCell ref="A86:S86"/>
  </mergeCells>
  <conditionalFormatting sqref="N4:N155">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fRule type="cellIs" priority="5" operator="equal" dxfId="4">
      <formula>"N/A"</formula>
    </cfRule>
  </conditionalFormatting>
  <conditionalFormatting sqref="F4:M155">
    <cfRule type="expression" priority="6" dxfId="5">
      <formula>$N4="Fail"</formula>
    </cfRule>
  </conditionalFormatting>
  <dataValidations count="3">
    <dataValidation sqref="N4:N155" showDropDown="0" showInputMessage="0" showErrorMessage="0" allowBlank="1" type="list">
      <formula1>"Pass,Fail,Blocked,Not Run,N/A"</formula1>
    </dataValidation>
    <dataValidation sqref="O4:O155" showDropDown="0" showInputMessage="0" showErrorMessage="0" allowBlank="1" type="list">
      <formula1>"Siti Nur Azila,Muhammad Amirul Azfar"</formula1>
    </dataValidation>
    <dataValidation sqref="P4:P155" showDropDown="0" showInputMessage="0" showErrorMessage="0" allowBlank="1" errorTitle="Test Date" error="Enter a date, e.g. 03/10/2026" type="date" operator="greaterThan">
      <formula1>DATE(2026,1,1)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zoomScale="90" workbookViewId="0">
      <selection activeCell="A1" sqref="A1"/>
    </sheetView>
  </sheetViews>
  <sheetFormatPr baseColWidth="8" defaultRowHeight="15"/>
  <cols>
    <col width="7" customWidth="1" min="1" max="1"/>
    <col width="26" customWidth="1" min="2" max="2"/>
    <col width="30" customWidth="1" min="3" max="3"/>
    <col width="14" customWidth="1" min="4" max="4"/>
    <col width="50" customWidth="1" min="5" max="5"/>
    <col width="40" customWidth="1" min="6" max="6"/>
    <col width="22" customWidth="1" min="7" max="7"/>
    <col width="18" customWidth="1" min="8" max="8"/>
    <col width="16" customWidth="1" min="9" max="9"/>
    <col width="30" customWidth="1" min="10" max="10"/>
  </cols>
  <sheetData>
    <row r="1">
      <c r="A1" s="4" t="inlineStr">
        <is>
          <t>Runs = test data. Each run uses ONE real company (one company, one use). Companies go in EAINT-12341_eSim_Setup.xlsx, tab '1 Companies'.</t>
        </is>
      </c>
    </row>
    <row r="3">
      <c r="A3" s="28" t="inlineStr">
        <is>
          <t>Run</t>
        </is>
      </c>
      <c r="B3" s="28" t="inlineStr">
        <is>
          <t>Business Type</t>
        </is>
      </c>
      <c r="C3" s="28" t="inlineStr">
        <is>
          <t>People</t>
        </is>
      </c>
      <c r="D3" s="28" t="inlineStr">
        <is>
          <t>TIN starts</t>
        </is>
      </c>
      <c r="E3" s="28" t="inlineStr">
        <is>
          <t>Purpose</t>
        </is>
      </c>
      <c r="F3" s="28" t="inlineStr">
        <is>
          <t>Registration no. format (letter)</t>
        </is>
      </c>
      <c r="G3" s="28" t="inlineStr">
        <is>
          <t>Test cases</t>
        </is>
      </c>
      <c r="H3" s="28" t="inlineStr">
        <is>
          <t>Pre-Application No</t>
        </is>
      </c>
      <c r="I3" s="28" t="inlineStr">
        <is>
          <t>Application No</t>
        </is>
      </c>
      <c r="J3" s="28" t="inlineStr">
        <is>
          <t>Run date / result</t>
        </is>
      </c>
    </row>
    <row r="4">
      <c r="A4" s="45" t="inlineStr">
        <is>
          <t>CH1</t>
        </is>
      </c>
      <c r="B4" s="6" t="inlineStr">
        <is>
          <t>Sdn Bhd / Bhd</t>
        </is>
      </c>
      <c r="C4" s="3" t="inlineStr">
        <is>
          <t>4 directors, all Malaysian</t>
        </is>
      </c>
      <c r="D4" s="3" t="inlineStr">
        <is>
          <t>C</t>
        </is>
      </c>
      <c r="E4" s="3" t="inlineStr">
        <is>
          <t>Main run — do it first. Carries the extra checks CH1-20 (old email) and CH1-21 (hardcopy regression).</t>
        </is>
      </c>
      <c r="F4" s="3" t="inlineStr">
        <is>
          <t>&lt;ROC no. with letter&gt; (&lt;12-digit no.&gt;), e.g. 1511229-A (202301017307)</t>
        </is>
      </c>
      <c r="G4" s="3" t="inlineStr">
        <is>
          <t>CH1-01 … CH1-21 (21)</t>
        </is>
      </c>
      <c r="H4" s="3" t="inlineStr"/>
      <c r="I4" s="3" t="inlineStr"/>
      <c r="J4" s="3" t="inlineStr"/>
    </row>
    <row r="5">
      <c r="A5" s="45" t="inlineStr">
        <is>
          <t>CH2</t>
        </is>
      </c>
      <c r="B5" s="6" t="inlineStr">
        <is>
          <t>Sdn Bhd / Bhd</t>
        </is>
      </c>
      <c r="C5" s="3" t="inlineStr">
        <is>
          <t>3 directors: 2 Malaysian + 1 foreigner</t>
        </is>
      </c>
      <c r="D5" s="3" t="inlineStr">
        <is>
          <t>C</t>
        </is>
      </c>
      <c r="E5" s="3" t="inlineStr">
        <is>
          <t>REQ-005 Example 2 (foreign director) — must get the SAME email as CH1.</t>
        </is>
      </c>
      <c r="F5" s="3" t="inlineStr">
        <is>
          <t>&lt;ROC no. with letter&gt; (&lt;12-digit no.&gt;), e.g. 1511229-A (202301017307)</t>
        </is>
      </c>
      <c r="G5" s="3" t="inlineStr">
        <is>
          <t>CH2-01 … CH2-19 (19)</t>
        </is>
      </c>
      <c r="H5" s="3" t="inlineStr"/>
      <c r="I5" s="3" t="inlineStr"/>
      <c r="J5" s="3" t="inlineStr"/>
    </row>
    <row r="6">
      <c r="A6" s="54" t="inlineStr">
        <is>
          <t>CH3</t>
        </is>
      </c>
      <c r="B6" s="8" t="inlineStr">
        <is>
          <t>Sole Proprietorship / Partnership</t>
        </is>
      </c>
      <c r="C6" s="3" t="inlineStr">
        <is>
          <t>4 business owners, all Malaysian</t>
        </is>
      </c>
      <c r="D6" s="3" t="inlineStr">
        <is>
          <t>D</t>
        </is>
      </c>
      <c r="E6" s="3" t="inlineStr">
        <is>
          <t>Sole Proprietorship / Partnership normal case (REQ-005 Example 1).</t>
        </is>
      </c>
      <c r="F6" s="3" t="inlineStr">
        <is>
          <t>&lt;ROB no. with letter&gt; (&lt;12-digit no.&gt;), e.g. 003123456-X (202103123456)</t>
        </is>
      </c>
      <c r="G6" s="3" t="inlineStr">
        <is>
          <t>CH3-01 … CH3-19 (19)</t>
        </is>
      </c>
      <c r="H6" s="3" t="inlineStr"/>
      <c r="I6" s="3" t="inlineStr"/>
      <c r="J6" s="3" t="inlineStr"/>
    </row>
    <row r="7">
      <c r="A7" s="54" t="inlineStr">
        <is>
          <t>CH4</t>
        </is>
      </c>
      <c r="B7" s="8" t="inlineStr">
        <is>
          <t>Sole Proprietorship / Partnership</t>
        </is>
      </c>
      <c r="C7" s="3" t="inlineStr">
        <is>
          <t>5 business owners, all Malaysian</t>
        </is>
      </c>
      <c r="D7" s="3" t="inlineStr">
        <is>
          <t>D</t>
        </is>
      </c>
      <c r="E7" s="3" t="inlineStr">
        <is>
          <t>REQ-005 Example 2 (5 or more owners) — must get the SAME email as CH1.</t>
        </is>
      </c>
      <c r="F7" s="3" t="inlineStr">
        <is>
          <t>&lt;ROB no. with letter&gt; (&lt;12-digit no.&gt;), e.g. 003123456-X (202103123456)</t>
        </is>
      </c>
      <c r="G7" s="3" t="inlineStr">
        <is>
          <t>CH4-01 … CH4-19 (19)</t>
        </is>
      </c>
      <c r="H7" s="3" t="inlineStr"/>
      <c r="I7" s="3" t="inlineStr"/>
      <c r="J7" s="3" t="inlineStr"/>
    </row>
    <row r="8">
      <c r="A8" s="54" t="inlineStr">
        <is>
          <t>CH5</t>
        </is>
      </c>
      <c r="B8" s="8" t="inlineStr">
        <is>
          <t>Sole Proprietorship / Partnership</t>
        </is>
      </c>
      <c r="C8" s="3" t="inlineStr">
        <is>
          <t>4 business owners, all Malaysian</t>
        </is>
      </c>
      <c r="D8" s="3" t="inlineStr">
        <is>
          <t>D (or IG)</t>
        </is>
      </c>
      <c r="E8" s="3" t="inlineStr">
        <is>
          <t>Stops at Submitted — no-email checks, then a manual Revert to UCD.</t>
        </is>
      </c>
      <c r="F8" s="3" t="inlineStr">
        <is>
          <t>—</t>
        </is>
      </c>
      <c r="G8" s="3" t="inlineStr">
        <is>
          <t>CH5-01 … CH5-06 (6)</t>
        </is>
      </c>
      <c r="H8" s="3" t="inlineStr"/>
      <c r="I8" s="3" t="inlineStr"/>
      <c r="J8" s="3" t="inlineStr"/>
    </row>
    <row r="9">
      <c r="A9" s="56" t="inlineStr">
        <is>
          <t>CH6</t>
        </is>
      </c>
      <c r="B9" s="10" t="inlineStr">
        <is>
          <t>LLP</t>
        </is>
      </c>
      <c r="C9" s="3" t="inlineStr">
        <is>
          <t>4 partners, all Malaysian</t>
        </is>
      </c>
      <c r="D9" s="3" t="inlineStr">
        <is>
          <t>PT</t>
        </is>
      </c>
      <c r="E9" s="3" t="inlineStr">
        <is>
          <t>LLP is not in the eSimulator guide — confirm the eSim screen first.</t>
        </is>
      </c>
      <c r="F9" s="3" t="inlineStr">
        <is>
          <t>&lt;LLP no. incl. -LGN&gt; (&lt;12-digit no.&gt;), e.g. LLP0035174-LGN (202304001238)</t>
        </is>
      </c>
      <c r="G9" s="3" t="inlineStr">
        <is>
          <t>CH6-01 … CH6-19 (19)</t>
        </is>
      </c>
      <c r="H9" s="3" t="inlineStr"/>
      <c r="I9" s="3" t="inlineStr"/>
      <c r="J9" s="3" t="inlineStr"/>
    </row>
    <row r="10">
      <c r="A10" s="58" t="inlineStr">
        <is>
          <t>CH7</t>
        </is>
      </c>
      <c r="B10" s="12" t="inlineStr">
        <is>
          <t>Business Trading (Sabah)</t>
        </is>
      </c>
      <c r="C10" s="3" t="inlineStr">
        <is>
          <t>2 directors (typed by the robot)</t>
        </is>
      </c>
      <c r="D10" s="3" t="inlineStr">
        <is>
          <t>any valid (Q-20)</t>
        </is>
      </c>
      <c r="E10" s="3" t="inlineStr">
        <is>
          <t>Non-SSM. No eSim. Letter registration number expected result is TBC (red).</t>
        </is>
      </c>
      <c r="F10" s="3" t="inlineStr">
        <is>
          <t>TBC — no SSM details for Business Trading (Q-09)</t>
        </is>
      </c>
      <c r="G10" s="3" t="inlineStr">
        <is>
          <t>CH7-01 … CH7-19 (19)</t>
        </is>
      </c>
      <c r="H10" s="3" t="inlineStr"/>
      <c r="I10" s="3" t="inlineStr"/>
      <c r="J10" s="3" t="inlineStr"/>
    </row>
    <row r="11">
      <c r="A11" s="61" t="inlineStr">
        <is>
          <t>CH8</t>
        </is>
      </c>
      <c r="B11" s="14" t="inlineStr">
        <is>
          <t>Business Trading (Sarawak)</t>
        </is>
      </c>
      <c r="C11" s="3" t="inlineStr">
        <is>
          <t>2 directors (typed by the robot)</t>
        </is>
      </c>
      <c r="D11" s="3" t="inlineStr">
        <is>
          <t>any valid (Q-20)</t>
        </is>
      </c>
      <c r="E11" s="3" t="inlineStr">
        <is>
          <t>Non-SSM, Sarawak. No eSim. Letter registration number expected result is TBC (red).</t>
        </is>
      </c>
      <c r="F11" s="3" t="inlineStr">
        <is>
          <t>TBC — no SSM details for Business Trading (Q-09)</t>
        </is>
      </c>
      <c r="G11" s="3" t="inlineStr">
        <is>
          <t>CH8-01 … CH8-19 (19)</t>
        </is>
      </c>
      <c r="H11" s="3" t="inlineStr"/>
      <c r="I11" s="3" t="inlineStr"/>
      <c r="J11" s="3" t="inlineStr"/>
    </row>
    <row r="13">
      <c r="A13" s="43" t="inlineStr">
        <is>
          <t>Already used in v1.1 (never reuse): IP0581553-U, 003270488-X, 1267419-A.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7"/>
  <sheetViews>
    <sheetView zoomScale="90" workbookViewId="0">
      <selection activeCell="A1" sqref="A1"/>
    </sheetView>
  </sheetViews>
  <sheetFormatPr baseColWidth="8" defaultRowHeight="15"/>
  <cols>
    <col width="38" customWidth="1" min="1" max="1"/>
    <col width="110" customWidth="1" min="2" max="2"/>
  </cols>
  <sheetData>
    <row r="1">
      <c r="A1" s="4" t="inlineStr">
        <is>
          <t>Expected content — verbatim from SRD v1.3 (§2.2.4.1, §2.2.5.1, §2.2.5.2)</t>
        </is>
      </c>
    </row>
    <row r="3">
      <c r="A3" s="27" t="inlineStr">
        <is>
          <t>Element</t>
        </is>
      </c>
      <c r="B3" s="27" t="inlineStr">
        <is>
          <t>Expected</t>
        </is>
      </c>
    </row>
    <row r="4" ht="19" customHeight="1">
      <c r="A4" s="39" t="inlineStr">
        <is>
          <t>Email Template 1 — Sender</t>
        </is>
      </c>
      <c r="B4" s="3" t="inlineStr">
        <is>
          <t>Pending confirmation from Operations (not checked).</t>
        </is>
      </c>
    </row>
    <row r="5" ht="32" customHeight="1">
      <c r="A5" s="39" t="inlineStr">
        <is>
          <t>Email Template 1 — Recipient</t>
        </is>
      </c>
      <c r="B5" s="3" t="inlineStr">
        <is>
          <t>To: Approved UCD email address captured in the Application.
CC: apply@eauto.my</t>
        </is>
      </c>
    </row>
    <row r="6" ht="45" customHeight="1">
      <c r="A6" s="39" t="inlineStr">
        <is>
          <t>Email Template 1 — Subject</t>
        </is>
      </c>
      <c r="B6" s="3" t="inlineStr">
        <is>
          <t>RHB Online / Branch Account Opening - [Application No] - [Company Name]
E.g.: RHB Online / Branch Account Opening - NA50000802 - ABC Motors Sdn Bhd</t>
        </is>
      </c>
    </row>
    <row r="7" ht="409" customHeight="1">
      <c r="A7" s="39" t="inlineStr">
        <is>
          <t>Email Template 1 — Body</t>
        </is>
      </c>
      <c r="B7" s="3" t="inlineStr">
        <is>
          <t>Dear Sir/Madam,
We are pleased to confirm that your company's registration with eAuto has been approved.
Application No: [Application No]
Company Name: [Company Name]
Please find the Appointment Letter attached for your reference.
eAuto has notified the RHB Support Team regarding your approved registration. Kindly wait for RHB to provide the Letter of Offer and the relevant onboarding documents by email.
If you do not receive the documents from RHB within three (3) working days, please contact us at apply@eauto.my.
Once you have received the required documents from RHB, you may choose from the following two (2) options to apply for an RHB Islamic Current Account:
Option 1 – Online Account Opening
You may register online via the following link:
[RHB Online Registration Link]
Please note that the online account-opening option is applicable to companies with a maximum of four (4) authorised or main users. The account opening remains subject to RHB's prevailing eligibility requirements and approval.
Upon completing the online application, please visit the RHB branch selected during your application within seven (7) days to complete the required verification and documentation process.
Option 2 – Account Opening at RHB Branch
Alternatively, you may visit your preferred RHB branch to apply for an RHB Islamic Current Account directly. The account opening will be subject to RHB's prevailing requirements, documentation and approval process.
Once the RHB Islamic Current Account has been successfully opened, kindly provide eAuto with the relevant account confirmation document for the next stage of account activation through the Application Link below:
[Application Link]
For further assistance or inquiries, please contact us at apply@eauto.my.
Thank you.
Best regards,
eAuto Sdn Bhd
Level 15 Sunway Tower
Jalan Ampang, 50450 Kuala Lumpur
Customer Service: 03-27798899
WhatsApp: 012-2001324</t>
        </is>
      </c>
    </row>
    <row r="8" ht="19" customHeight="1">
      <c r="A8" s="39" t="inlineStr">
        <is>
          <t>Email Template 1 — RHB link</t>
        </is>
      </c>
      <c r="B8" s="3" t="inlineStr">
        <is>
          <t>https://smecaonline.rhbgroup.com/sme/online?tag=campaign</t>
        </is>
      </c>
    </row>
    <row r="9" ht="19" customHeight="1">
      <c r="A9" s="40" t="inlineStr">
        <is>
          <t>Email Template 3 — Sender</t>
        </is>
      </c>
      <c r="B9" s="3" t="inlineStr">
        <is>
          <t>Pending confirmation from Operations (not checked).</t>
        </is>
      </c>
    </row>
    <row r="10" ht="32" customHeight="1">
      <c r="A10" s="40" t="inlineStr">
        <is>
          <t>Email Template 3 — Recipient</t>
        </is>
      </c>
      <c r="B10" s="3" t="inlineStr">
        <is>
          <t>To: BIS.Support@rhbgroup.com
CC: Approved UCD email address captured in the Application, apply@eauto.my</t>
        </is>
      </c>
    </row>
    <row r="11" ht="45" customHeight="1">
      <c r="A11" s="40" t="inlineStr">
        <is>
          <t>Email Template 3 — Subject</t>
        </is>
      </c>
      <c r="B11" s="3" t="inlineStr">
        <is>
          <t>Approved eAuto Registration - [Company Name] - [BRN Number]
E.g.: Approved eAuto Registration - ABC Motors Sdn Bhd - 202401234567</t>
        </is>
      </c>
    </row>
    <row r="12" ht="409" customHeight="1">
      <c r="A12" s="40" t="inlineStr">
        <is>
          <t>Email Template 3 — Body</t>
        </is>
      </c>
      <c r="B12" s="3" t="inlineStr">
        <is>
          <t>Dear RHB Support Team,
We wish to inform you that the following company's registration with eAuto has been approved:
Company Name: [Company Name]
Business Registration Number: [BRN Number]
UCD Contact Person: [Name]
Contact Number: [Contact Number]
Email Address: [UCD Email Address]
Please find the Appointment Letter attached for your reference and further action.
Kindly issue the Letter of Offer and relevant onboarding documents to the UCD within one (1) working day. The UCD has been copied in this email to ensure that it receives the documents directly.
When responding, please use Reply All so that the UCD and eAuto remain included in the correspondence and can proceed with the subsequent account-opening arrangements.
For further assistance or inquiries, please contact us at apply@eauto.my.
Thank you.
Best regards,
eAuto Sdn Bhd
Level 15 Sunway Tower
Jalan Ampang, 50450 Kuala Lumpur
Customer Service: 03-27798899
WhatsApp: 012-2001324</t>
        </is>
      </c>
    </row>
    <row r="13" ht="19" customHeight="1">
      <c r="A13" s="41" t="inlineStr">
        <is>
          <t>Appointment Letter — Document Title</t>
        </is>
      </c>
      <c r="B13" s="3" t="inlineStr">
        <is>
          <t>LETTER OF CONFIRMATION OF REGISTRATION AS A USED CAR DEALER (UCD) UNDER eAUTO SDN. BHD. PLATFORM</t>
        </is>
      </c>
    </row>
    <row r="14" ht="32" customHeight="1">
      <c r="A14" s="41" t="inlineStr">
        <is>
          <t>Appointment Letter — Letterhead</t>
        </is>
      </c>
      <c r="B14" s="3" t="inlineStr">
        <is>
          <t>eAuto logo; eAuto Sdn Bhd 200401038456 (676967-T); Level 15 Sunway Tower, Jalan Ampang, 50450 Kuala Lumpur; Tel: 03-2779 8893</t>
        </is>
      </c>
    </row>
    <row r="15" ht="19" customHeight="1">
      <c r="A15" s="41" t="inlineStr">
        <is>
          <t>Appointment Letter — Date</t>
        </is>
      </c>
      <c r="B15" s="3" t="inlineStr">
        <is>
          <t>[DD/MM/YYYY] — the date the Application is approved</t>
        </is>
      </c>
    </row>
    <row r="16" ht="19" customHeight="1">
      <c r="A16" s="41" t="inlineStr">
        <is>
          <t>Appointment Letter — Our Ref</t>
        </is>
      </c>
      <c r="B16" s="3" t="inlineStr">
        <is>
          <t>[eAuto/OPS/UCD/[Application No]/[YYYY]]  — [YYYY] = year of the Application approval date</t>
        </is>
      </c>
    </row>
    <row r="17" ht="19" customHeight="1">
      <c r="A17" s="41" t="inlineStr">
        <is>
          <t>Appointment Letter — Recipient</t>
        </is>
      </c>
      <c r="B17" s="3" t="inlineStr">
        <is>
          <t>To: [UCD Company Name] / [Old BRN] ([New BRN]) / [Company Address]</t>
        </is>
      </c>
    </row>
    <row r="18" ht="19" customHeight="1">
      <c r="A18" s="41" t="inlineStr">
        <is>
          <t>Appointment Letter — Salutation</t>
        </is>
      </c>
      <c r="B18" s="3" t="inlineStr">
        <is>
          <t>Dear Sir / Madam,  ·  We refer to the above matter.</t>
        </is>
      </c>
    </row>
    <row r="19" ht="32" customHeight="1">
      <c r="A19" s="41" t="inlineStr">
        <is>
          <t>Appointment Letter — Clause 1</t>
        </is>
      </c>
      <c r="B19" s="3" t="inlineStr">
        <is>
          <t>We are pleased to confirm that [UCD Company Name], Company Registration No. [Old BRN] ([New BRN]), has been approved and registered as a Used Car Dealer (UCD) under the eAuto Sdn. Bhd. (“eAuto”) platform (“eAuto Platform”).</t>
        </is>
      </c>
    </row>
    <row r="20" ht="32" customHeight="1">
      <c r="A20" s="41" t="inlineStr">
        <is>
          <t>Appointment Letter — Clause 2</t>
        </is>
      </c>
      <c r="B20" s="3" t="inlineStr">
        <is>
          <t>For the avoidance of doubt, this registration confirms the UCD's status on the eAuto platform for operational and administrative purposes only. ... (verbatim per SRD §2.2.5.2 item 6)</t>
        </is>
      </c>
    </row>
    <row r="21" ht="32" customHeight="1">
      <c r="A21" s="41" t="inlineStr">
        <is>
          <t>Appointment Letter — Clause 3</t>
        </is>
      </c>
      <c r="B21" s="3" t="inlineStr">
        <is>
          <t>This registration enables the company to access and utilise the services and facilities provided through the eAuto Platform ... (including the Motor Vehicle Dealer License Agreement ...) ...</t>
        </is>
      </c>
    </row>
    <row r="22" ht="32" customHeight="1">
      <c r="A22" s="41" t="inlineStr">
        <is>
          <t>Appointment Letter — Clause 4 — table</t>
        </is>
      </c>
      <c r="B22" s="3" t="inlineStr">
        <is>
          <t>UCD Name: [UCD Company Name]  |  Company Registration No.: [Old BRN] ([New BRN])  |  UCD / Dealer Reference No.: [Pre-Application No] / [Application No]</t>
        </is>
      </c>
    </row>
    <row r="23" ht="19" customHeight="1">
      <c r="A23" s="41" t="inlineStr">
        <is>
          <t>Appointment Letter — Clause 5</t>
        </is>
      </c>
      <c r="B23" s="3" t="inlineStr">
        <is>
          <t>This letter is issued as an official confirmation of the company's status ... may be presented to RHB Bank Berhad ...</t>
        </is>
      </c>
    </row>
    <row r="24" ht="32" customHeight="1">
      <c r="A24" s="41" t="inlineStr">
        <is>
          <t>Appointment Letter — Clause 6</t>
        </is>
      </c>
      <c r="B24" s="3" t="inlineStr">
        <is>
          <t>This letter is issued solely for the purpose stated in Clause 5 ... (clause numbering must render so the 'Clause 5' reference is valid)</t>
        </is>
      </c>
    </row>
    <row r="25" ht="19" customHeight="1">
      <c r="A25" s="41" t="inlineStr">
        <is>
          <t>Appointment Letter — Clause 7</t>
        </is>
      </c>
      <c r="B25" s="3" t="inlineStr">
        <is>
          <t>The company's registration as a UCD shall remain subject to ... suspend, revoke or vary ...</t>
        </is>
      </c>
    </row>
    <row r="26" ht="19" customHeight="1">
      <c r="A26" s="41" t="inlineStr">
        <is>
          <t>Appointment Letter — Clause 8</t>
        </is>
      </c>
      <c r="B26" s="3" t="inlineStr">
        <is>
          <t>This confirmation is accurate as at the date of this letter only ...</t>
        </is>
      </c>
    </row>
    <row r="27" ht="19" customHeight="1">
      <c r="A27" s="41" t="inlineStr">
        <is>
          <t>Appointment Letter — Closing</t>
        </is>
      </c>
      <c r="B27" s="3" t="inlineStr">
        <is>
          <t>Thank you.  ·  Yours faithfully,  ·  for and on behalf of eAuto Sdn. Bhd.</t>
        </is>
      </c>
    </row>
    <row r="28" ht="19" customHeight="1">
      <c r="A28" s="41" t="inlineStr">
        <is>
          <t>Appointment Letter — Signatory</t>
        </is>
      </c>
      <c r="B28" s="3" t="inlineStr">
        <is>
          <t>Signature of the authorised officer — CHIA KET MING, COO</t>
        </is>
      </c>
    </row>
    <row r="29" ht="19" customHeight="1">
      <c r="A29" s="41" t="inlineStr">
        <is>
          <t>Appointment Letter — Footer</t>
        </is>
      </c>
      <c r="B29" s="3" t="inlineStr">
        <is>
          <t>Website: www.eauto.my | Customer Service: 03-2779 8899 | Email: support@eauto.my</t>
        </is>
      </c>
    </row>
    <row r="30" ht="19" customHeight="1">
      <c r="A30" s="41" t="inlineStr">
        <is>
          <t>Letter field [DD/MM/YYYY]</t>
        </is>
      </c>
      <c r="B30" s="3" t="inlineStr">
        <is>
          <t>Date of Application approval</t>
        </is>
      </c>
    </row>
    <row r="31" ht="19" customHeight="1">
      <c r="A31" s="41" t="inlineStr">
        <is>
          <t>Letter field [Application No]</t>
        </is>
      </c>
      <c r="B31" s="3" t="inlineStr">
        <is>
          <t>Application No (NAxxxxxxxx)</t>
        </is>
      </c>
    </row>
    <row r="32" ht="19" customHeight="1">
      <c r="A32" s="41" t="inlineStr">
        <is>
          <t>Letter field [YYYY]</t>
        </is>
      </c>
      <c r="B32" s="3" t="inlineStr">
        <is>
          <t>Year of the Application approval date</t>
        </is>
      </c>
    </row>
    <row r="33" ht="19" customHeight="1">
      <c r="A33" s="41" t="inlineStr">
        <is>
          <t>Letter field [UCD Company Name]</t>
        </is>
      </c>
      <c r="B33" s="3" t="inlineStr">
        <is>
          <t>Company name captured in the Application</t>
        </is>
      </c>
    </row>
    <row r="34" ht="19" customHeight="1">
      <c r="A34" s="41" t="inlineStr">
        <is>
          <t>Letter field [Old BRN]</t>
        </is>
      </c>
      <c r="B34" s="3" t="inlineStr">
        <is>
          <t>Old BRN in the SSM details of the Pre-Application summary</t>
        </is>
      </c>
    </row>
    <row r="35" ht="19" customHeight="1">
      <c r="A35" s="41" t="inlineStr">
        <is>
          <t>Letter field [New BRN]</t>
        </is>
      </c>
      <c r="B35" s="3" t="inlineStr">
        <is>
          <t>New BRN in the SSM details of the Pre-Application summary</t>
        </is>
      </c>
    </row>
    <row r="36" ht="19" customHeight="1">
      <c r="A36" s="41" t="inlineStr">
        <is>
          <t>Letter field [Company Address]</t>
        </is>
      </c>
      <c r="B36" s="3" t="inlineStr">
        <is>
          <t>Company address captured in the Application (which field — Q-06)</t>
        </is>
      </c>
    </row>
    <row r="37" ht="19" customHeight="1">
      <c r="A37" s="41" t="inlineStr">
        <is>
          <t>Letter field [Pre-Application No]</t>
        </is>
      </c>
      <c r="B37" s="3" t="inlineStr">
        <is>
          <t>Pre-Application No (Pyymmdd/nnnnn)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zoomScale="90" workbookViewId="0">
      <selection activeCell="A1" sqref="A1"/>
    </sheetView>
  </sheetViews>
  <sheetFormatPr baseColWidth="8" defaultRowHeight="15"/>
  <cols>
    <col width="22" customWidth="1" min="1" max="1"/>
    <col width="22" customWidth="1" min="2" max="2"/>
    <col width="22" customWidth="1" min="3" max="3"/>
    <col width="60" customWidth="1" min="4" max="4"/>
    <col width="14" customWidth="1" min="5" max="5"/>
    <col width="50" customWidth="1" min="6" max="6"/>
  </cols>
  <sheetData>
    <row r="1">
      <c r="A1" s="4" t="inlineStr">
        <is>
          <t>Requirement → test cases (SRD v1.3)</t>
        </is>
      </c>
    </row>
    <row r="3">
      <c r="A3" s="28" t="inlineStr">
        <is>
          <t>Requirement ID</t>
        </is>
      </c>
      <c r="B3" s="28" t="inlineStr">
        <is>
          <t>Item</t>
        </is>
      </c>
      <c r="C3" s="28" t="inlineStr">
        <is>
          <t>Status in v1.3</t>
        </is>
      </c>
      <c r="D3" s="28" t="inlineStr">
        <is>
          <t>Acceptance Criteria (summary)</t>
        </is>
      </c>
      <c r="E3" s="28" t="inlineStr">
        <is>
          <t># test cases</t>
        </is>
      </c>
      <c r="F3" s="28" t="inlineStr">
        <is>
          <t>Test cases</t>
        </is>
      </c>
    </row>
    <row r="4">
      <c r="A4" s="3" t="inlineStr">
        <is>
          <t>EAINT-12341-REQ-001</t>
        </is>
      </c>
      <c r="B4" s="3" t="inlineStr">
        <is>
          <t>Email Trigger</t>
        </is>
      </c>
      <c r="C4" s="3" t="inlineStr">
        <is>
          <t>Active</t>
        </is>
      </c>
      <c r="D4" s="3" t="inlineStr">
        <is>
          <t>Upon Application approval the UCD receives the guideline email; the existing approved application email with the 3 RHB documents is no longer sent; existing approval handling unchanged.</t>
        </is>
      </c>
      <c r="E4" s="29">
        <f>COUNTIF('Test Cases'!$J$4:$J$155,"*REQ-001*")</f>
        <v/>
      </c>
      <c r="F4" s="3" t="inlineStr">
        <is>
          <t>CH1-02, CH1-04, CH1-05, CH1-19, CH1-20, CH1-21, CH2-02, CH2-04, CH2-05, CH2-19, CH3-02, CH3-04, CH3-05, CH3-19, CH4-02, CH4-04, CH4-05, CH4-19, CH5-02, CH5-04, CH5-05, CH5-06, CH6-02, CH6-04, CH6-05, CH6-19, CH7-02, CH7-04, CH7-05, CH7-19, CH8-02, CH8-04, CH8-05, CH8-19</t>
        </is>
      </c>
    </row>
    <row r="5">
      <c r="A5" s="3" t="inlineStr">
        <is>
          <t>EAINT-12341-REQ-002</t>
        </is>
      </c>
      <c r="B5" s="3" t="inlineStr">
        <is>
          <t>Email Recipient</t>
        </is>
      </c>
      <c r="C5" s="3" t="inlineStr">
        <is>
          <t>Active</t>
        </is>
      </c>
      <c r="D5" s="3" t="inlineStr">
        <is>
          <t>Guideline email addressed to the UCD email recorded in the approved Application.</t>
        </is>
      </c>
      <c r="E5" s="29">
        <f>COUNTIF('Test Cases'!$J$4:$J$155,"*REQ-002*")</f>
        <v/>
      </c>
      <c r="F5" s="3" t="inlineStr">
        <is>
          <t>CH1-05, CH2-05, CH3-05, CH4-05, CH6-05, CH7-05, CH8-05</t>
        </is>
      </c>
    </row>
    <row r="6">
      <c r="A6" s="3" t="inlineStr">
        <is>
          <t>EAINT-12341-REQ-003</t>
        </is>
      </c>
      <c r="B6" s="3" t="inlineStr">
        <is>
          <t>Guideline Determination</t>
        </is>
      </c>
      <c r="C6" s="62" t="inlineStr">
        <is>
          <t>REMOVED in v1.3</t>
        </is>
      </c>
      <c r="D6" s="3" t="inlineStr">
        <is>
          <t>Single email template, no template selection needed.</t>
        </is>
      </c>
      <c r="E6" s="29">
        <f>COUNTIF('Test Cases'!$J$4:$J$155,"*REQ-003*")</f>
        <v/>
      </c>
      <c r="F6" s="3" t="inlineStr">
        <is>
          <t>CH1-10, CH2-10, CH3-10, CH4-10, CH6-10, CH7-10, CH8-10</t>
        </is>
      </c>
    </row>
    <row r="7">
      <c r="A7" s="3" t="inlineStr">
        <is>
          <t>EAINT-12341-REQ-004</t>
        </is>
      </c>
      <c r="B7" s="3" t="inlineStr">
        <is>
          <t>Data Source</t>
        </is>
      </c>
      <c r="C7" s="62" t="inlineStr">
        <is>
          <t>REMOVED in v1.3</t>
        </is>
      </c>
      <c r="D7" s="3" t="inlineStr">
        <is>
          <t>Director count and nationality no longer read.</t>
        </is>
      </c>
      <c r="E7" s="29">
        <f>COUNTIF('Test Cases'!$J$4:$J$155,"*REQ-004*")</f>
        <v/>
      </c>
      <c r="F7" s="3" t="inlineStr">
        <is>
          <t>CH1-10, CH2-10, CH3-10, CH4-10, CH6-10, CH7-10, CH8-10</t>
        </is>
      </c>
    </row>
    <row r="8">
      <c r="A8" s="3" t="inlineStr">
        <is>
          <t>EAINT-12341-REQ-005</t>
        </is>
      </c>
      <c r="B8" s="3" t="inlineStr">
        <is>
          <t>Email Template Content</t>
        </is>
      </c>
      <c r="C8" s="3" t="inlineStr">
        <is>
          <t>Updated in v1.3</t>
        </is>
      </c>
      <c r="D8" s="3" t="inlineStr">
        <is>
          <t>Guideline email content matches Email Template 1 (§2.2.4.1) regardless of number of directors/owners and nationality (Example 1 and Example 2 both → Template 1).</t>
        </is>
      </c>
      <c r="E8" s="29">
        <f>COUNTIF('Test Cases'!$J$4:$J$155,"*REQ-005*")</f>
        <v/>
      </c>
      <c r="F8" s="3" t="inlineStr">
        <is>
          <t>CH1-06, CH1-07, CH1-08, CH1-10, CH1-18, CH2-06, CH2-07, CH2-08, CH2-10, CH2-18, CH3-06, CH3-07, CH3-08, CH3-10, CH3-18, CH4-06, CH4-07, CH4-08, CH4-10, CH4-18, CH6-06, CH6-07, CH6-08, CH6-10, CH6-18, CH7-06, CH7-07, CH7-08, CH7-10, CH7-18, CH8-06, CH8-07, CH8-08, CH8-10, CH8-18</t>
        </is>
      </c>
    </row>
    <row r="9">
      <c r="A9" s="3" t="inlineStr">
        <is>
          <t>EAINT-12341-REQ-006</t>
        </is>
      </c>
      <c r="B9" s="3" t="inlineStr">
        <is>
          <t>Recipient and Copy</t>
        </is>
      </c>
      <c r="C9" s="3" t="inlineStr">
        <is>
          <t>Active</t>
        </is>
      </c>
      <c r="D9" s="3" t="inlineStr">
        <is>
          <t>Appointment Letter email To BIS.Support@rhbgroup.com; UCD email in CC.</t>
        </is>
      </c>
      <c r="E9" s="29">
        <f>COUNTIF('Test Cases'!$J$4:$J$155,"*REQ-006*")</f>
        <v/>
      </c>
      <c r="F9" s="3" t="inlineStr">
        <is>
          <t>CH1-11, CH2-11, CH3-11, CH4-11, CH6-11, CH7-11, CH8-11</t>
        </is>
      </c>
    </row>
    <row r="10">
      <c r="A10" s="3" t="inlineStr">
        <is>
          <t>EAINT-12341-REQ-007</t>
        </is>
      </c>
      <c r="B10" s="3" t="inlineStr">
        <is>
          <t>Letter Generation</t>
        </is>
      </c>
      <c r="C10" s="3" t="inlineStr">
        <is>
          <t>Updated in v1.2</t>
        </is>
      </c>
      <c r="D10" s="3" t="inlineStr">
        <is>
          <t>Appointment Letter per §2.2.5.2 generated with Application details pre-populated, no manual input.</t>
        </is>
      </c>
      <c r="E10" s="29">
        <f>COUNTIF('Test Cases'!$J$4:$J$155,"*REQ-007*")</f>
        <v/>
      </c>
      <c r="F10" s="3" t="inlineStr">
        <is>
          <t>CH1-03, CH1-15, CH1-16, CH1-18, CH2-03, CH2-15, CH2-16, CH2-18, CH3-03, CH3-15, CH3-16, CH3-18, CH4-03, CH4-15, CH4-16, CH4-18, CH5-03, CH6-03, CH6-15, CH6-16, CH6-18, CH7-15, CH7-16, CH7-18, CH8-15, CH8-16, CH8-18</t>
        </is>
      </c>
    </row>
    <row r="11">
      <c r="A11" s="3" t="inlineStr">
        <is>
          <t>EAINT-12341-REQ-008</t>
        </is>
      </c>
      <c r="B11" s="3" t="inlineStr">
        <is>
          <t>Letter Attachment</t>
        </is>
      </c>
      <c r="C11" s="3" t="inlineStr">
        <is>
          <t>Updated in v1.2</t>
        </is>
      </c>
      <c r="D11" s="3" t="inlineStr">
        <is>
          <t>Appointment Letter attached to the RHB Support email AND to the guideline email to the UCD.</t>
        </is>
      </c>
      <c r="E11" s="29">
        <f>COUNTIF('Test Cases'!$J$4:$J$155,"*REQ-008*")</f>
        <v/>
      </c>
      <c r="F11" s="3" t="inlineStr">
        <is>
          <t>CH1-09, CH1-14, CH1-17, CH2-09, CH2-14, CH2-17, CH3-09, CH3-14, CH3-17, CH4-09, CH4-14, CH4-17, CH6-09, CH6-14, CH6-17, CH7-09, CH7-14, CH7-17, CH8-09, CH8-14, CH8-17</t>
        </is>
      </c>
    </row>
    <row r="12">
      <c r="A12" s="3" t="inlineStr">
        <is>
          <t>EAINT-12341-REQ-009</t>
        </is>
      </c>
      <c r="B12" s="3" t="inlineStr">
        <is>
          <t>Email Template Content</t>
        </is>
      </c>
      <c r="C12" s="3" t="inlineStr">
        <is>
          <t>Active (sentence withdrawn v1.1)</t>
        </is>
      </c>
      <c r="D12" s="3" t="inlineStr">
        <is>
          <t>RHB Support email content matches Email Template 3 (§2.2.5.1).</t>
        </is>
      </c>
      <c r="E12" s="29">
        <f>COUNTIF('Test Cases'!$J$4:$J$155,"*REQ-009*")</f>
        <v/>
      </c>
      <c r="F12" s="3" t="inlineStr">
        <is>
          <t>CH1-12, CH1-13, CH1-18, CH2-12, CH2-13, CH2-18, CH3-12, CH3-13, CH3-18, CH4-12, CH4-13, CH4-18, CH6-12, CH6-13, CH6-18, CH7-12, CH7-13, CH7-18, CH8-12, CH8-13, CH8-18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6"/>
  <sheetViews>
    <sheetView zoomScale="90" workbookViewId="0">
      <selection activeCell="A1" sqref="A1"/>
    </sheetView>
  </sheetViews>
  <sheetFormatPr baseColWidth="8" defaultRowHeight="15"/>
  <cols>
    <col width="7" customWidth="1" min="1" max="1"/>
    <col width="70" customWidth="1" min="2" max="2"/>
    <col width="42" customWidth="1" min="3" max="3"/>
    <col width="22" customWidth="1" min="4" max="4"/>
    <col width="18" customWidth="1" min="5" max="5"/>
    <col width="10" customWidth="1" min="6" max="6"/>
    <col width="40" customWidth="1" min="7" max="7"/>
    <col width="18" customWidth="1" min="8" max="8"/>
  </cols>
  <sheetData>
    <row r="1">
      <c r="A1" s="4" t="inlineStr">
        <is>
          <t>Open questions — 'xx-NN' = test NN of every run</t>
        </is>
      </c>
    </row>
    <row r="3">
      <c r="A3" s="28" t="inlineStr">
        <is>
          <t>#</t>
        </is>
      </c>
      <c r="B3" s="28" t="inlineStr">
        <is>
          <t>Question</t>
        </is>
      </c>
      <c r="C3" s="28" t="inlineStr">
        <is>
          <t>Impact / interim handling</t>
        </is>
      </c>
      <c r="D3" s="28" t="inlineStr">
        <is>
          <t>Blocks</t>
        </is>
      </c>
      <c r="E3" s="28" t="inlineStr">
        <is>
          <t>Ask</t>
        </is>
      </c>
      <c r="F3" s="28" t="inlineStr">
        <is>
          <t>Status</t>
        </is>
      </c>
      <c r="G3" s="28" t="inlineStr">
        <is>
          <t>Answer</t>
        </is>
      </c>
      <c r="H3" s="28" t="inlineStr">
        <is>
          <t>Answered by / date</t>
        </is>
      </c>
    </row>
    <row r="4">
      <c r="A4" s="3" t="inlineStr">
        <is>
          <t>Q-01</t>
        </is>
      </c>
      <c r="B4" s="3" t="inlineStr">
        <is>
          <t>The email template document V3.0 (Yeng, 29.09) ends at 'For further assistance or inquiries, please contact us at apply@eauto.my.' with no 'Thank you / Best regards / eAuto Sdn Bhd / address / Customer Service / WhatsApp' block. SRD v1.3 §2.2.4.1 keeps that block. Which one is expected?</t>
        </is>
      </c>
      <c r="C4" s="3" t="inlineStr">
        <is>
          <t>Until answered the SRD is used (it is the baseline). A missing signature will be reported, not failed silently.</t>
        </is>
      </c>
      <c r="D4" s="3" t="inlineStr">
        <is>
          <t>xx-07</t>
        </is>
      </c>
      <c r="E4" s="3" t="inlineStr">
        <is>
          <t>BA (Chee Mei Jia) / Operations</t>
        </is>
      </c>
      <c r="F4" s="63" t="inlineStr">
        <is>
          <t>Open</t>
        </is>
      </c>
      <c r="G4" s="3" t="inlineStr"/>
      <c r="H4" s="3" t="inlineStr"/>
    </row>
    <row r="5">
      <c r="A5" s="3" t="inlineStr">
        <is>
          <t>Q-02</t>
        </is>
      </c>
      <c r="B5" s="3" t="inlineStr">
        <is>
          <t>The template document's heading 'UCD ONLINE REGISTRATION (ONLINE &amp; BRANCH COMBINED)' — confirm it is only the document title and NOT the email subject (SRD subject: 'RHB Online / Branch Account Opening - [Application No] - [Company Name]').</t>
        </is>
      </c>
      <c r="C5" s="3" t="inlineStr">
        <is>
          <t>xx-06 uses the SRD subject.</t>
        </is>
      </c>
      <c r="D5" s="3" t="inlineStr">
        <is>
          <t>xx-06</t>
        </is>
      </c>
      <c r="E5" s="3" t="inlineStr">
        <is>
          <t>BA</t>
        </is>
      </c>
      <c r="F5" s="63" t="inlineStr">
        <is>
          <t>Open</t>
        </is>
      </c>
      <c r="G5" s="3" t="inlineStr"/>
      <c r="H5" s="3" t="inlineStr"/>
    </row>
    <row r="6">
      <c r="A6" s="3" t="inlineStr">
        <is>
          <t>Q-03</t>
        </is>
      </c>
      <c r="B6" s="3" t="inlineStr">
        <is>
          <t>[Application Link] — which link is it and where should it land for an APPROVED Application (the same Application form link emailed at Pre-Application approval, the Registration Document step, something else)? Any expiry?</t>
        </is>
      </c>
      <c r="C6" s="3" t="inlineStr">
        <is>
          <t>xx-08 can only check 'clickable, not an error' until answered.</t>
        </is>
      </c>
      <c r="D6" s="3" t="inlineStr">
        <is>
          <t>xx-08</t>
        </is>
      </c>
      <c r="E6" s="3" t="inlineStr">
        <is>
          <t>BA / Dev</t>
        </is>
      </c>
      <c r="F6" s="63" t="inlineStr">
        <is>
          <t>Open</t>
        </is>
      </c>
      <c r="G6" s="3" t="inlineStr"/>
      <c r="H6" s="3" t="inlineStr"/>
    </row>
    <row r="7">
      <c r="A7" s="3" t="inlineStr">
        <is>
          <t>Q-04</t>
        </is>
      </c>
      <c r="B7" s="3" t="inlineStr">
        <is>
          <t>Which fields feed (a) the 'UCD email address captured in the Application' (To of Email Template 1, CC of Email Template 3, Email Address in Template 3) and (b) Template 3 'UCD Contact Person: [Name]' and 'Contact Number': the Admin In Charge on the Pre-Application, or the Director / Business Owner in Charge on Application step 3?</t>
        </is>
      </c>
      <c r="C7" s="3" t="inlineStr">
        <is>
          <t>The chain now uses different name / mobile / email for the two, so the first run will SHOW what the system uses — but QA needs the intended answer to pass/fail.</t>
        </is>
      </c>
      <c r="D7" s="3" t="inlineStr">
        <is>
          <t>xx-05, xx-11, xx-13</t>
        </is>
      </c>
      <c r="E7" s="3" t="inlineStr">
        <is>
          <t>BA / Dev</t>
        </is>
      </c>
      <c r="F7" s="63" t="inlineStr">
        <is>
          <t>Open</t>
        </is>
      </c>
      <c r="G7" s="3" t="inlineStr"/>
      <c r="H7" s="3" t="inlineStr"/>
    </row>
    <row r="8">
      <c r="A8" s="3" t="inlineStr">
        <is>
          <t>Q-05</t>
        </is>
      </c>
      <c r="B8" s="3" t="inlineStr">
        <is>
          <t>Template 3 [BRN Number] — new BRN (12-digit, as the SRD example '202401234567' suggests) or old BRN? What is shown for Business Trading (licence no.)?</t>
        </is>
      </c>
      <c r="C8" s="3" t="inlineStr">
        <is>
          <t>xx-12/xx-13 record the value shown.</t>
        </is>
      </c>
      <c r="D8" s="3" t="inlineStr">
        <is>
          <t>xx-12, xx-13, xx-11–14</t>
        </is>
      </c>
      <c r="E8" s="3" t="inlineStr">
        <is>
          <t>BA</t>
        </is>
      </c>
      <c r="F8" s="63" t="inlineStr">
        <is>
          <t>Open</t>
        </is>
      </c>
      <c r="G8" s="3" t="inlineStr"/>
      <c r="H8" s="3" t="inlineStr"/>
    </row>
    <row r="9">
      <c r="A9" s="3" t="inlineStr">
        <is>
          <t>Q-06</t>
        </is>
      </c>
      <c r="B9" s="3" t="inlineStr">
        <is>
          <t>Appointment Letter [Company Address] — 'company address captured in the Application': which address (the showroom address carried from the Pre-Application, or another address field)? Single line or multi-line?</t>
        </is>
      </c>
      <c r="C9" s="3" t="inlineStr">
        <is>
          <t>xx-16 compares against the showroom address until answered.</t>
        </is>
      </c>
      <c r="D9" s="3" t="inlineStr">
        <is>
          <t>xx-16</t>
        </is>
      </c>
      <c r="E9" s="3" t="inlineStr">
        <is>
          <t>BA / Dev</t>
        </is>
      </c>
      <c r="F9" s="63" t="inlineStr">
        <is>
          <t>Open</t>
        </is>
      </c>
      <c r="G9" s="3" t="inlineStr"/>
      <c r="H9" s="3" t="inlineStr"/>
    </row>
    <row r="10">
      <c r="A10" s="3" t="inlineStr">
        <is>
          <t>Q-07</t>
        </is>
      </c>
      <c r="B10" s="3" t="inlineStr">
        <is>
          <t>The sample letter keeps square brackets in the output: 'Our Ref: [eAuto/OPS/UCD/NA69001196/2026]' and '[1511229-A (202301017307)]' in the recipient block and Clause 1, but not in the Clause 4 table. Are the outer brackets literal (expected in the generated letter) or a sample artefact?</t>
        </is>
      </c>
      <c r="C10" s="3" t="inlineStr">
        <is>
          <t>Affects pass/fail of xx-16 and xx-18.</t>
        </is>
      </c>
      <c r="D10" s="3" t="inlineStr">
        <is>
          <t>xx-16, xx-18</t>
        </is>
      </c>
      <c r="E10" s="3" t="inlineStr">
        <is>
          <t>BA / Operations</t>
        </is>
      </c>
      <c r="F10" s="63" t="inlineStr">
        <is>
          <t>Open</t>
        </is>
      </c>
      <c r="G10" s="3" t="inlineStr"/>
      <c r="H10" s="3" t="inlineStr"/>
    </row>
    <row r="11">
      <c r="A11" s="3" t="inlineStr">
        <is>
          <t>Q-08</t>
        </is>
      </c>
      <c r="B11" s="3" t="inlineStr">
        <is>
          <t>Appointment Letter file format (PDF or DOCX) and attachment file name convention?</t>
        </is>
      </c>
      <c r="C11" s="3" t="inlineStr">
        <is>
          <t>Record what is received.</t>
        </is>
      </c>
      <c r="D11" s="3" t="inlineStr">
        <is>
          <t>xx-09, xx-14, xx-17</t>
        </is>
      </c>
      <c r="E11" s="3" t="inlineStr">
        <is>
          <t>BA / Dev</t>
        </is>
      </c>
      <c r="F11" s="63" t="inlineStr">
        <is>
          <t>Open</t>
        </is>
      </c>
      <c r="G11" s="3" t="inlineStr"/>
      <c r="H11" s="3" t="inlineStr"/>
    </row>
    <row r="12">
      <c r="A12" s="3" t="inlineStr">
        <is>
          <t>Q-09</t>
        </is>
      </c>
      <c r="B12" s="3" t="inlineStr">
        <is>
          <t>Business Trading (no SSM details): what should the letter show for [Old BRN] ([New BRN]) — the trading licence number? blank?</t>
        </is>
      </c>
      <c r="C12" s="3" t="inlineStr">
        <is>
          <t>CH7/CH8-16 is RED until answered.</t>
        </is>
      </c>
      <c r="D12" s="3" t="inlineStr">
        <is>
          <t>CH7/CH8-16</t>
        </is>
      </c>
      <c r="E12" s="3" t="inlineStr">
        <is>
          <t>BA</t>
        </is>
      </c>
      <c r="F12" s="63" t="inlineStr">
        <is>
          <t>Open</t>
        </is>
      </c>
      <c r="G12" s="3" t="inlineStr"/>
      <c r="H12" s="3" t="inlineStr"/>
    </row>
    <row r="13">
      <c r="A13" s="3" t="inlineStr">
        <is>
          <t>Q-10</t>
        </is>
      </c>
      <c r="B13" s="3" t="inlineStr">
        <is>
          <t>Letter title: SRD v1.3 'UNDER eAUTO SDN. BHD. PLATFORM' vs template .docx 'UNDER eAUTO SDN. BHD.PLATFORM' (no space). Which is correct?</t>
        </is>
      </c>
      <c r="C13" s="3" t="inlineStr">
        <is>
          <t>Minor — will be raised as cosmetic if the output differs from the SRD.</t>
        </is>
      </c>
      <c r="D13" s="3" t="inlineStr">
        <is>
          <t>xx-15</t>
        </is>
      </c>
      <c r="E13" s="3" t="inlineStr">
        <is>
          <t>BA</t>
        </is>
      </c>
      <c r="F13" s="63" t="inlineStr">
        <is>
          <t>Open</t>
        </is>
      </c>
      <c r="G13" s="3" t="inlineStr"/>
      <c r="H13" s="3" t="inlineStr"/>
    </row>
    <row r="14">
      <c r="A14" s="3" t="inlineStr">
        <is>
          <t>Q-11</t>
        </is>
      </c>
      <c r="B14" s="3" t="inlineStr">
        <is>
          <t>Letter date / [YYYY]: in which time zone is the 'Application approval date' taken (MYT)? Any rule for approvals around midnight / year end?</t>
        </is>
      </c>
      <c r="C14" s="3" t="inlineStr">
        <is>
          <t>Low risk; noted.</t>
        </is>
      </c>
      <c r="D14" s="3" t="inlineStr">
        <is>
          <t>xx-16</t>
        </is>
      </c>
      <c r="E14" s="3" t="inlineStr">
        <is>
          <t>Dev</t>
        </is>
      </c>
      <c r="F14" s="63" t="inlineStr">
        <is>
          <t>Open</t>
        </is>
      </c>
      <c r="G14" s="3" t="inlineStr"/>
      <c r="H14" s="3" t="inlineStr"/>
    </row>
    <row r="15">
      <c r="A15" s="3" t="inlineStr">
        <is>
          <t>Q-12</t>
        </is>
      </c>
      <c r="B15" s="3" t="inlineStr">
        <is>
          <t>Sender (From) for all three emails is still 'Pending confirmation from Operations' in v1.3. Has it been decided?</t>
        </is>
      </c>
      <c r="C15" s="3" t="inlineStr">
        <is>
          <t>No case asserts From until confirmed.</t>
        </is>
      </c>
      <c r="D15" s="3" t="inlineStr">
        <is>
          <t>xx-05, xx-11</t>
        </is>
      </c>
      <c r="E15" s="3" t="inlineStr">
        <is>
          <t>Operations</t>
        </is>
      </c>
      <c r="F15" s="63" t="inlineStr">
        <is>
          <t>Open</t>
        </is>
      </c>
      <c r="G15" s="3" t="inlineStr"/>
      <c r="H15" s="3" t="inlineStr"/>
    </row>
    <row r="16">
      <c r="A16" s="3" t="inlineStr">
        <is>
          <t>Q-13</t>
        </is>
      </c>
      <c r="B16" s="3" t="inlineStr">
        <is>
          <t>The Jira description (item 5) still describes the v1.1 determination rule (≤4 / ≥5 / foreigner) and a UCD upload + BackOffice verification step. SRD v1.3 removes the rule and keeps the upload OUT of scope. Confirm SRD v1.3 is the test baseline (and ask the BA to update the ticket).</t>
        </is>
      </c>
      <c r="C16" s="3" t="inlineStr">
        <is>
          <t>Test design follows SRD v1.3.</t>
        </is>
      </c>
      <c r="D16" s="3" t="inlineStr">
        <is>
          <t>All</t>
        </is>
      </c>
      <c r="E16" s="3" t="inlineStr">
        <is>
          <t>BA</t>
        </is>
      </c>
      <c r="F16" s="63" t="inlineStr">
        <is>
          <t>Open</t>
        </is>
      </c>
      <c r="G16" s="3" t="inlineStr"/>
      <c r="H16" s="3" t="inlineStr"/>
    </row>
    <row r="17">
      <c r="A17" s="3" t="inlineStr">
        <is>
          <t>Q-14</t>
        </is>
      </c>
      <c r="B17" s="3" t="inlineStr">
        <is>
          <t>(carried Q6) Hardcopy resubmission regression: where do the 'as before' expectations come from — please add the EAINT-11763 SRD or test sheet to 00-input/.</t>
        </is>
      </c>
      <c r="C17" s="3" t="inlineStr">
        <is>
          <t>CH1-21 checks the listed behaviour only.</t>
        </is>
      </c>
      <c r="D17" s="3" t="inlineStr">
        <is>
          <t>CH1-21</t>
        </is>
      </c>
      <c r="E17" s="3" t="inlineStr">
        <is>
          <t>QA / BA</t>
        </is>
      </c>
      <c r="F17" s="63" t="inlineStr">
        <is>
          <t>Open</t>
        </is>
      </c>
      <c r="G17" s="3" t="inlineStr"/>
      <c r="H17" s="3" t="inlineStr"/>
    </row>
    <row r="18">
      <c r="A18" s="3" t="inlineStr">
        <is>
          <t>Q-15</t>
        </is>
      </c>
      <c r="B18" s="3" t="inlineStr">
        <is>
          <t>(carried Q9) Which BackOffice role and control performs Revert to UCD?</t>
        </is>
      </c>
      <c r="C18" s="3" t="inlineStr">
        <is>
          <t>Manual step in CH5-05/06.</t>
        </is>
      </c>
      <c r="D18" s="3" t="inlineStr">
        <is>
          <t>CH5-05/06</t>
        </is>
      </c>
      <c r="E18" s="3" t="inlineStr">
        <is>
          <t>QA / BA</t>
        </is>
      </c>
      <c r="F18" s="63" t="inlineStr">
        <is>
          <t>Open</t>
        </is>
      </c>
      <c r="G18" s="3" t="inlineStr"/>
      <c r="H18" s="3" t="inlineStr"/>
    </row>
    <row r="19">
      <c r="A19" s="3" t="inlineStr">
        <is>
          <t>Q-16</t>
        </is>
      </c>
      <c r="B19" s="3" t="inlineStr">
        <is>
          <t>(carried Q10) Quiet window for 'no email' checks — proposed 10 minutes after the action. OK?</t>
        </is>
      </c>
      <c r="C19" s="3" t="inlineStr">
        <is>
          <t>Proposal only.</t>
        </is>
      </c>
      <c r="D19" s="3" t="inlineStr">
        <is>
          <t>xx-19, xx-04, CH5-05/06</t>
        </is>
      </c>
      <c r="E19" s="3" t="inlineStr">
        <is>
          <t>QA Lead</t>
        </is>
      </c>
      <c r="F19" s="3" t="inlineStr">
        <is>
          <t>Proposed</t>
        </is>
      </c>
      <c r="G19" s="3" t="inlineStr"/>
      <c r="H19" s="3" t="inlineStr"/>
    </row>
    <row r="20">
      <c r="A20" s="3" t="inlineStr">
        <is>
          <t>Q-17</t>
        </is>
      </c>
      <c r="B20" s="3" t="inlineStr">
        <is>
          <t>Confirm staging mail is captured by Mailtrap (sandbox) so no live email reaches BIS.Support@rhbgroup.com during testing.</t>
        </is>
      </c>
      <c r="C20" s="3" t="inlineStr">
        <is>
          <t>Must be true before CH1 runs.</t>
        </is>
      </c>
      <c r="D20" s="3" t="inlineStr">
        <is>
          <t>All</t>
        </is>
      </c>
      <c r="E20" s="3" t="inlineStr">
        <is>
          <t>Dev / DevOps</t>
        </is>
      </c>
      <c r="F20" s="63" t="inlineStr">
        <is>
          <t>Open</t>
        </is>
      </c>
      <c r="G20" s="3" t="inlineStr"/>
      <c r="H20" s="3" t="inlineStr"/>
    </row>
    <row r="21">
      <c r="A21" s="3" t="inlineStr">
        <is>
          <t>Q-18</t>
        </is>
      </c>
      <c r="B21" s="3" t="inlineStr">
        <is>
          <t>Applications approved before deployment: any back-fill / re-send of the new emails? (Assumed none — not in the SRD.)</t>
        </is>
      </c>
      <c r="C21" s="3" t="inlineStr">
        <is>
          <t>Not tested unless confirmed.</t>
        </is>
      </c>
      <c r="D21" s="3" t="inlineStr">
        <is>
          <t>—</t>
        </is>
      </c>
      <c r="E21" s="3" t="inlineStr">
        <is>
          <t>BA</t>
        </is>
      </c>
      <c r="F21" s="63" t="inlineStr">
        <is>
          <t>Open</t>
        </is>
      </c>
      <c r="G21" s="3" t="inlineStr"/>
      <c r="H21" s="3" t="inlineStr"/>
    </row>
    <row r="22">
      <c r="A22" s="3" t="inlineStr">
        <is>
          <t>Q-19</t>
        </is>
      </c>
      <c r="B22" s="3" t="inlineStr">
        <is>
          <t>Can an Approved Application be reverted and approved again? If so, should the emails be sent again?</t>
        </is>
      </c>
      <c r="C22" s="3" t="inlineStr">
        <is>
          <t>Would add a scenario.</t>
        </is>
      </c>
      <c r="D22" s="3" t="inlineStr">
        <is>
          <t>—</t>
        </is>
      </c>
      <c r="E22" s="3" t="inlineStr">
        <is>
          <t>BA</t>
        </is>
      </c>
      <c r="F22" s="63" t="inlineStr">
        <is>
          <t>Open</t>
        </is>
      </c>
      <c r="G22" s="3" t="inlineStr"/>
      <c r="H22" s="3" t="inlineStr"/>
    </row>
    <row r="23">
      <c r="A23" s="3" t="inlineStr">
        <is>
          <t>Q-20</t>
        </is>
      </c>
      <c r="B23" s="3" t="inlineStr">
        <is>
          <t>Test data: please share a fresh company-details-checker sheet (PASS rows) — needed: 3 ROB (TIN D), 2 ROC (TIN C), 1 LLP (TIN PT). For Business Trading (CH7 Sabah, CH8 Sarawak): which TINs may be used (Application step 1 makes TIN mandatory)?</t>
        </is>
      </c>
      <c r="C23" s="3" t="inlineStr">
        <is>
          <t>Chains refuse to run without an assigned company.</t>
        </is>
      </c>
      <c r="D23" s="3" t="inlineStr">
        <is>
          <t>CH1–CH8</t>
        </is>
      </c>
      <c r="E23" s="3" t="inlineStr">
        <is>
          <t>QA (Azila)</t>
        </is>
      </c>
      <c r="F23" s="63" t="inlineStr">
        <is>
          <t>Open</t>
        </is>
      </c>
      <c r="G23" s="3" t="inlineStr"/>
      <c r="H23" s="3" t="inlineStr"/>
    </row>
    <row r="24">
      <c r="A24" s="3" t="inlineStr">
        <is>
          <t>Q-21</t>
        </is>
      </c>
      <c r="B24" s="3" t="inlineStr">
        <is>
          <t>Run identity: which name / email prefix should the automation use for the Admin In Charge and Director (previously 'AZFAR QA' / azfar.qa.*@modefair.com)? Now configurable via QA_TESTER / QA_EMAIL_PREFIX.</t>
        </is>
      </c>
      <c r="C24" s="3" t="inlineStr">
        <is>
          <t>Defaults: 'QA AUTOMATION' / qa.eaint12341.</t>
        </is>
      </c>
      <c r="D24" s="3" t="inlineStr">
        <is>
          <t>CH1–CH8</t>
        </is>
      </c>
      <c r="E24" s="3" t="inlineStr">
        <is>
          <t>QA (Azila)</t>
        </is>
      </c>
      <c r="F24" s="63" t="inlineStr">
        <is>
          <t>Open</t>
        </is>
      </c>
      <c r="G24" s="3" t="inlineStr"/>
      <c r="H24" s="3" t="inlineStr"/>
    </row>
    <row r="25">
      <c r="A25" s="3" t="inlineStr">
        <is>
          <t>Q-22</t>
        </is>
      </c>
      <c r="B25" s="3" t="inlineStr">
        <is>
          <t>'Clean existing data': which records? The 3 failed v1.1 chains (P260924/00874 etc.) in staging and their eSim rows? The ledger keeps those companies as spent by rule (one company, one use).</t>
        </is>
      </c>
      <c r="C25" s="3" t="inlineStr">
        <is>
          <t>Nothing has been deleted.</t>
        </is>
      </c>
      <c r="D25" s="3" t="inlineStr">
        <is>
          <t>—</t>
        </is>
      </c>
      <c r="E25" s="3" t="inlineStr">
        <is>
          <t>QA (Azila) / Azfar</t>
        </is>
      </c>
      <c r="F25" s="63" t="inlineStr">
        <is>
          <t>Open</t>
        </is>
      </c>
      <c r="G25" s="3" t="inlineStr"/>
      <c r="H25" s="3" t="inlineStr"/>
    </row>
    <row r="26">
      <c r="A26" s="3" t="inlineStr">
        <is>
          <t>Q-23</t>
        </is>
      </c>
      <c r="B26" s="3" t="inlineStr">
        <is>
          <t>Subject line of the OLD approved-application email (to prove it is no longer sent).</t>
        </is>
      </c>
      <c r="C26" s="3" t="inlineStr">
        <is>
          <t>CH1-20 needs it.</t>
        </is>
      </c>
      <c r="D26" s="3" t="inlineStr">
        <is>
          <t>CH1-20</t>
        </is>
      </c>
      <c r="E26" s="3" t="inlineStr">
        <is>
          <t>QA / Dev</t>
        </is>
      </c>
      <c r="F26" s="63" t="inlineStr">
        <is>
          <t>Open</t>
        </is>
      </c>
      <c r="G26" s="3" t="inlineStr"/>
      <c r="H26"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zoomScale="90" workbookViewId="0">
      <selection activeCell="A1" sqref="A1"/>
    </sheetView>
  </sheetViews>
  <sheetFormatPr baseColWidth="8" defaultRowHeight="15"/>
  <cols>
    <col width="12" customWidth="1" min="1" max="1"/>
    <col width="22" customWidth="1" min="2" max="2"/>
    <col width="70" customWidth="1" min="3" max="3"/>
    <col width="70" customWidth="1" min="4" max="4"/>
  </cols>
  <sheetData>
    <row r="1">
      <c r="A1" s="4" t="inlineStr">
        <is>
          <t>SRD v1.1 → v1.2 → v1.3 and what it changed in testing</t>
        </is>
      </c>
    </row>
    <row r="3">
      <c r="A3" s="27" t="inlineStr">
        <is>
          <t>SRD Version</t>
        </is>
      </c>
      <c r="B3" s="27" t="inlineStr">
        <is>
          <t>Requirement / Section</t>
        </is>
      </c>
      <c r="C3" s="27" t="inlineStr">
        <is>
          <t>Change</t>
        </is>
      </c>
      <c r="D3" s="27" t="inlineStr">
        <is>
          <t>Test impact</t>
        </is>
      </c>
    </row>
    <row r="4">
      <c r="A4" s="3" t="inlineStr">
        <is>
          <t>v1.2</t>
        </is>
      </c>
      <c r="B4" s="3" t="inlineStr">
        <is>
          <t>REQ-008</t>
        </is>
      </c>
      <c r="C4" s="3" t="inlineStr">
        <is>
          <t>Appointment Letter attached to the UCD emails as well as the RHB Support email.</t>
        </is>
      </c>
      <c r="D4" s="3" t="inlineStr">
        <is>
          <t>Closes v1.1 intake Q5 and the 'raise for SRD v1.2' note. xx-09, xx-14, xx-17.</t>
        </is>
      </c>
    </row>
    <row r="5">
      <c r="A5" s="3" t="inlineStr">
        <is>
          <t>v1.2</t>
        </is>
      </c>
      <c r="B5" s="3" t="inlineStr">
        <is>
          <t>REQ-007 / §2.2.5.2</t>
        </is>
      </c>
      <c r="C5" s="3" t="inlineStr">
        <is>
          <t>Appointment Letter template added (title, letterhead, date, Our Ref, recipient, 8 clauses, signatory, footer, pre-populated fields).</t>
        </is>
      </c>
      <c r="D5" s="3" t="inlineStr">
        <is>
          <t>Closes v1.1 intake Q4 (fields pending Operations). New xx-15, xx-16, CH1/CH2/CH6-16, CH7/CH8-16.</t>
        </is>
      </c>
    </row>
    <row r="6">
      <c r="A6" s="3" t="inlineStr">
        <is>
          <t>v1.3</t>
        </is>
      </c>
      <c r="B6" s="3" t="inlineStr">
        <is>
          <t>REQ-003</t>
        </is>
      </c>
      <c r="C6" s="3" t="inlineStr">
        <is>
          <t>Guideline determination by director count / nationality REMOVED.</t>
        </is>
      </c>
      <c r="D6" s="3" t="inlineStr">
        <is>
          <t>v1.1 E2E1–E2E12 (template selection, 4 vs 5 boundary, foreigner, secretary/shareholder/CO exclusion) RETIRED. Replaced by CH3-05–10–CH7/CH8-05–10 'same template regardless'.</t>
        </is>
      </c>
    </row>
    <row r="7">
      <c r="A7" s="3" t="inlineStr">
        <is>
          <t>v1.3</t>
        </is>
      </c>
      <c r="B7" s="3" t="inlineStr">
        <is>
          <t>REQ-004</t>
        </is>
      </c>
      <c r="C7" s="3" t="inlineStr">
        <is>
          <t>Reading director count and nationality from SSM details REMOVED.</t>
        </is>
      </c>
      <c r="D7" s="3" t="inlineStr">
        <is>
          <t>Intake Q2 (count source rules) and Q7 (seed a CO) no longer needed; Q12 (IG vs D TIN) no longer affects the result.</t>
        </is>
      </c>
    </row>
    <row r="8">
      <c r="A8" s="3" t="inlineStr">
        <is>
          <t>v1.3</t>
        </is>
      </c>
      <c r="B8" s="3" t="inlineStr">
        <is>
          <t>REQ-005 / §2.2.4.1</t>
        </is>
      </c>
      <c r="C8" s="3" t="inlineStr">
        <is>
          <t>One combined Email Template 1 to every UCD; new subject 'RHB Online / Branch Account Opening - …'; new body with Option 1 (online) and Option 2 (branch), 3-working-day line; 'and further action' removed.</t>
        </is>
      </c>
      <c r="D8" s="3" t="inlineStr">
        <is>
          <t>xx-06, xx-07, xx-08 rewritten against the new text.</t>
        </is>
      </c>
    </row>
    <row r="9">
      <c r="A9" s="3" t="inlineStr">
        <is>
          <t>v1.3</t>
        </is>
      </c>
      <c r="B9" s="3" t="inlineStr">
        <is>
          <t>§2.2.4.2</t>
        </is>
      </c>
      <c r="C9" s="3" t="inlineStr">
        <is>
          <t>Email Template 2 (Branch) REMOVED.</t>
        </is>
      </c>
      <c r="D9" s="3" t="inlineStr">
        <is>
          <t>Negative checks: no 'RHB Branch Account Opening' email (CH4-05–10, CH2-05–10).</t>
        </is>
      </c>
    </row>
    <row r="10">
      <c r="A10" s="3" t="inlineStr">
        <is>
          <t>v1.3</t>
        </is>
      </c>
      <c r="B10" s="3" t="inlineStr">
        <is>
          <t>§2.1 / §2.2.2</t>
        </is>
      </c>
      <c r="C10" s="3" t="inlineStr">
        <is>
          <t>Text updated to 'the same RHB Account Registration Guideline email is sent to every UCD'.</t>
        </is>
      </c>
      <c r="D10" s="3" t="inlineStr">
        <is>
          <t>Business Trading (old E2E12, TBC) now has a confirmed expected template → CH7/CH8-05–10. Letter BRN still TBC (CH7/CH8-16).</t>
        </is>
      </c>
    </row>
    <row r="11">
      <c r="A11" s="3" t="inlineStr">
        <is>
          <t>—</t>
        </is>
      </c>
      <c r="B11" s="3" t="inlineStr">
        <is>
          <t>Unchanged</t>
        </is>
      </c>
      <c r="C11" s="3" t="inlineStr">
        <is>
          <t>REQ-001, REQ-002, REQ-006, REQ-009, Out-of-scope list (UCD upload + BO verification of RHB docs remains OUT of scope).</t>
        </is>
      </c>
      <c r="D11" s="3" t="inlineStr">
        <is>
          <t>xx-05, xx-11–xx-11–14, CH1-20–CH5-05/06 carried over.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4"/>
  <sheetViews>
    <sheetView zoomScale="90" workbookViewId="0">
      <selection activeCell="A1" sqref="A1"/>
    </sheetView>
  </sheetViews>
  <sheetFormatPr baseColWidth="8" defaultRowHeight="15"/>
  <cols>
    <col width="16" customWidth="1" min="1" max="1"/>
    <col width="40" customWidth="1" min="2" max="2"/>
    <col width="80" customWidth="1" min="3" max="3"/>
  </cols>
  <sheetData>
    <row r="1">
      <c r="A1" s="4" t="inlineStr">
        <is>
          <t>Previous QA's v1.1 cases and where they went</t>
        </is>
      </c>
    </row>
    <row r="3">
      <c r="A3" s="27" t="inlineStr">
        <is>
          <t>v1.1 TS No.</t>
        </is>
      </c>
      <c r="B3" s="27" t="inlineStr">
        <is>
          <t>v1.1 Scenario</t>
        </is>
      </c>
      <c r="C3" s="27" t="inlineStr">
        <is>
          <t>v1.3 Disposition</t>
        </is>
      </c>
    </row>
    <row r="4">
      <c r="A4" s="3" t="inlineStr">
        <is>
          <t>12341_E2E1</t>
        </is>
      </c>
      <c r="B4" s="3" t="inlineStr">
        <is>
          <t>ROB 4 MY → Template 1</t>
        </is>
      </c>
      <c r="C4" s="3" t="inlineStr">
        <is>
          <t>Covered by CH3-05–10 (same template). Boundary no longer meaningful.</t>
        </is>
      </c>
    </row>
    <row r="5">
      <c r="A5" s="3" t="inlineStr">
        <is>
          <t>12341_E2E2</t>
        </is>
      </c>
      <c r="B5" s="3" t="inlineStr">
        <is>
          <t>ROB 5 MY → Template 2</t>
        </is>
      </c>
      <c r="C5" s="3" t="inlineStr">
        <is>
          <t>Replaced by CH4-05–10 (5 owners → same combined template).</t>
        </is>
      </c>
    </row>
    <row r="6">
      <c r="A6" s="3" t="inlineStr">
        <is>
          <t>12341_E2E3</t>
        </is>
      </c>
      <c r="B6" s="3" t="inlineStr">
        <is>
          <t>ROB 3 incl. 1 foreigner → Template 2</t>
        </is>
      </c>
      <c r="C6" s="3" t="inlineStr">
        <is>
          <t>Retired — REQ-003/004 removed. Foreigner coverage kept once in CH2-05–10 (ROC).</t>
        </is>
      </c>
    </row>
    <row r="7">
      <c r="A7" s="3" t="inlineStr">
        <is>
          <t>12341_E2E4</t>
        </is>
      </c>
      <c r="B7" s="3" t="inlineStr">
        <is>
          <t>ROB 5 incl. 1 foreigner → Template 2</t>
        </is>
      </c>
      <c r="C7" s="3" t="inlineStr">
        <is>
          <t>Retired — REQ-003/004 removed.</t>
        </is>
      </c>
    </row>
    <row r="8">
      <c r="A8" s="3" t="inlineStr">
        <is>
          <t>12341_E2E5</t>
        </is>
      </c>
      <c r="B8" s="3" t="inlineStr">
        <is>
          <t>ROC 4 dir + 1 sec → Template 1</t>
        </is>
      </c>
      <c r="C8" s="3" t="inlineStr">
        <is>
          <t>Retired — secretary exclusion no longer affects the outcome.</t>
        </is>
      </c>
    </row>
    <row r="9">
      <c r="A9" s="3" t="inlineStr">
        <is>
          <t>12341_E2E6</t>
        </is>
      </c>
      <c r="B9" s="3" t="inlineStr">
        <is>
          <t>ROC 5 dir → Template 2</t>
        </is>
      </c>
      <c r="C9" s="3" t="inlineStr">
        <is>
          <t>Retired — covered by CH4-05–10 (count) and CH2-05–10 (ROC).</t>
        </is>
      </c>
    </row>
    <row r="10">
      <c r="A10" s="3" t="inlineStr">
        <is>
          <t>12341_E2E7</t>
        </is>
      </c>
      <c r="B10" s="3" t="inlineStr">
        <is>
          <t>ROC 3 incl. 1 foreigner → Template 2</t>
        </is>
      </c>
      <c r="C10" s="3" t="inlineStr">
        <is>
          <t>Replaced by CH2-05–10.</t>
        </is>
      </c>
    </row>
    <row r="11">
      <c r="A11" s="3" t="inlineStr">
        <is>
          <t>12341_E2E8</t>
        </is>
      </c>
      <c r="B11" s="3" t="inlineStr">
        <is>
          <t>ROC 2 dir + 3 sh → Template 1</t>
        </is>
      </c>
      <c r="C11" s="3" t="inlineStr">
        <is>
          <t>Retired — shareholder exclusion no longer affects the outcome.</t>
        </is>
      </c>
    </row>
    <row r="12">
      <c r="A12" s="3" t="inlineStr">
        <is>
          <t>12341_E2E9</t>
        </is>
      </c>
      <c r="B12" s="3" t="inlineStr">
        <is>
          <t>LLP 4 PT → Template 1</t>
        </is>
      </c>
      <c r="C12" s="3" t="inlineStr">
        <is>
          <t>Replaced by CH6-05–10.</t>
        </is>
      </c>
    </row>
    <row r="13">
      <c r="A13" s="3" t="inlineStr">
        <is>
          <t>12341_E2E10</t>
        </is>
      </c>
      <c r="B13" s="3" t="inlineStr">
        <is>
          <t>LLP 5 PT → Template 2</t>
        </is>
      </c>
      <c r="C13" s="3" t="inlineStr">
        <is>
          <t>Retired — REQ-003 removed (also no usable LLP).</t>
        </is>
      </c>
    </row>
    <row r="14">
      <c r="A14" s="3" t="inlineStr">
        <is>
          <t>12341_E2E11</t>
        </is>
      </c>
      <c r="B14" s="3" t="inlineStr">
        <is>
          <t>LLP 3 incl. 1 foreigner → Template 2</t>
        </is>
      </c>
      <c r="C14" s="3" t="inlineStr">
        <is>
          <t>Retired — REQ-003 removed.</t>
        </is>
      </c>
    </row>
    <row r="15">
      <c r="A15" s="3" t="inlineStr">
        <is>
          <t>12341_E2E12</t>
        </is>
      </c>
      <c r="B15" s="3" t="inlineStr">
        <is>
          <t>Business Trading → TBC</t>
        </is>
      </c>
      <c r="C15" s="3" t="inlineStr">
        <is>
          <t>Replaced by CH7/CH8-05–10 (template now confirmed, Sabah CH7 + Sarawak CH8) + CH7/CH8-16 (letter BRN TBC).</t>
        </is>
      </c>
    </row>
    <row r="16">
      <c r="A16" s="3" t="inlineStr">
        <is>
          <t>12341_E2E13</t>
        </is>
      </c>
      <c r="B16" s="3" t="inlineStr">
        <is>
          <t>Template 3 To/CC</t>
        </is>
      </c>
      <c r="C16" s="3" t="inlineStr">
        <is>
          <t>Carried over as xx-11.</t>
        </is>
      </c>
    </row>
    <row r="17">
      <c r="A17" s="3" t="inlineStr">
        <is>
          <t>12341_E2E14</t>
        </is>
      </c>
      <c r="B17" s="3" t="inlineStr">
        <is>
          <t>Template 3 attachment</t>
        </is>
      </c>
      <c r="C17" s="3" t="inlineStr">
        <is>
          <t>Carried over as xx-14 + xx-15/xx-16 (letter now specified).</t>
        </is>
      </c>
    </row>
    <row r="18">
      <c r="A18" s="3" t="inlineStr">
        <is>
          <t>12341_E2E15</t>
        </is>
      </c>
      <c r="B18" s="3" t="inlineStr">
        <is>
          <t>Template 3 subject/body</t>
        </is>
      </c>
      <c r="C18" s="3" t="inlineStr">
        <is>
          <t>Carried over as xx-12, xx-13.</t>
        </is>
      </c>
    </row>
    <row r="19">
      <c r="A19" s="3" t="inlineStr">
        <is>
          <t>12341_E2E16</t>
        </is>
      </c>
      <c r="B19" s="3" t="inlineStr">
        <is>
          <t>Both emails from one approval</t>
        </is>
      </c>
      <c r="C19" s="3" t="inlineStr">
        <is>
          <t>Carried over as xx-19.</t>
        </is>
      </c>
    </row>
    <row r="20">
      <c r="A20" s="3" t="inlineStr">
        <is>
          <t>12341_E2E17</t>
        </is>
      </c>
      <c r="B20" s="3" t="inlineStr">
        <is>
          <t>Template 3 without ineligibility sentence</t>
        </is>
      </c>
      <c r="C20" s="3" t="inlineStr">
        <is>
          <t>Folded into xx-13.</t>
        </is>
      </c>
    </row>
    <row r="21">
      <c r="A21" s="3" t="inlineStr">
        <is>
          <t>12341_R1</t>
        </is>
      </c>
      <c r="B21" s="3" t="inlineStr">
        <is>
          <t>Old email suppressed</t>
        </is>
      </c>
      <c r="C21" s="3" t="inlineStr">
        <is>
          <t>Carried over as CH1-20.</t>
        </is>
      </c>
    </row>
    <row r="22">
      <c r="A22" s="3" t="inlineStr">
        <is>
          <t>12341_R2</t>
        </is>
      </c>
      <c r="B22" s="3" t="inlineStr">
        <is>
          <t>No email at Submitted / Revert</t>
        </is>
      </c>
      <c r="C22" s="3" t="inlineStr">
        <is>
          <t>Carried over as CH5-05/06.</t>
        </is>
      </c>
    </row>
    <row r="23">
      <c r="A23" s="3" t="inlineStr">
        <is>
          <t>12341_R3</t>
        </is>
      </c>
      <c r="B23" s="3" t="inlineStr">
        <is>
          <t>No unresolved placeholders</t>
        </is>
      </c>
      <c r="C23" s="3" t="inlineStr">
        <is>
          <t>Carried over as xx-18 (extended to the letter).</t>
        </is>
      </c>
    </row>
    <row r="24">
      <c r="A24" s="3" t="inlineStr">
        <is>
          <t>12341_R4</t>
        </is>
      </c>
      <c r="B24" s="3" t="inlineStr">
        <is>
          <t>Hardcopy resubmission unaffected</t>
        </is>
      </c>
      <c r="C24" s="3" t="inlineStr">
        <is>
          <t>Carried over as CH1-21.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2026-10-02T03:25:25Z</dcterms:created>
  <dcterms:modified xsi:type="dcterms:W3CDTF">2026-10-02T03:25:25Z</dcterms:modified>
</cp:coreProperties>
</file>
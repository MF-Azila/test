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1 Companies" sheetId="2" state="visible" r:id="rId2"/>
    <sheet name="CH1" sheetId="3" state="visible" r:id="rId3"/>
    <sheet name="CH2" sheetId="4" state="visible" r:id="rId4"/>
    <sheet name="CH3" sheetId="5" state="visible" r:id="rId5"/>
    <sheet name="CH4" sheetId="6" state="visible" r:id="rId6"/>
    <sheet name="CH5" sheetId="7" state="visible" r:id="rId7"/>
    <sheet name="CH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eSim setup for EAINT-12341 — what to type, run by run</t>
        </is>
      </c>
    </row>
    <row r="2">
      <c r="A2" s="2" t="inlineStr"/>
    </row>
    <row r="3">
      <c r="A3" s="2" t="inlineStr">
        <is>
          <t>1. Open tab '1 Companies'. Fill ONLY the YELLOW cells: ROC/ROB number exactly as the checker sheet shows it (with the letter, e.g. 639691-H), the new 12-digit number, the TIN and the checker row.</t>
        </is>
      </c>
    </row>
    <row r="4">
      <c r="A4" s="2" t="inlineStr">
        <is>
          <t xml:space="preserve">   Only PASS rows. Do not use IP0581553-U, 003270488-X, 1267419-A (already used by Azfar).</t>
        </is>
      </c>
    </row>
    <row r="5">
      <c r="A5" s="2" t="inlineStr">
        <is>
          <t>2. The green cells work themselves out (number without the letter, the letter, the values for eSim).</t>
        </is>
      </c>
    </row>
    <row r="6">
      <c r="A6" s="2" t="inlineStr">
        <is>
          <t>3. For each run, open its tab (CH1, CH2, …). Log in to eSim: https://172.30.202.114:9089/esim/login (VPN on).</t>
        </is>
      </c>
    </row>
    <row r="7">
      <c r="A7" s="2" t="inlineStr">
        <is>
          <t>4. Follow the tab top to bottom: Part A = screen 'Ssm Enquiry Resp', Part B = 'Ssm Rob / Roc Submission Resp'.</t>
        </is>
      </c>
    </row>
    <row r="8">
      <c r="A8" s="2" t="inlineStr">
        <is>
          <t xml:space="preserve">   Edit an existing record (as the eSimulator guide says). Inside the big text boxes, change ONLY the tags listed — leave everything else as it is.</t>
        </is>
      </c>
    </row>
    <row r="9">
      <c r="A9" s="2" t="inlineStr">
        <is>
          <t>5. People: keep ONE existing person block, copy it until there are exactly as many blocks as the tab lists, then change the name and IC in each. Delete any extra blocks.</t>
        </is>
      </c>
    </row>
    <row r="10">
      <c r="A10" s="2" t="inlineStr">
        <is>
          <t>6. Save both screens, then tell QA support 'eSim ready for CH1' and start the robot (npm run ch1).</t>
        </is>
      </c>
    </row>
    <row r="11">
      <c r="A11" s="2" t="inlineStr"/>
    </row>
    <row r="12">
      <c r="A12" s="3" t="inlineStr">
        <is>
          <t>Set up eSim for ONE run at a time, just before that run. Never reuse a company, even if a run fails — take a Spare row.</t>
        </is>
      </c>
    </row>
    <row r="13">
      <c r="A13" s="3" t="inlineStr">
        <is>
          <t>Send this file back to QA support after filling tab 1, so the same numbers go into the robot.</t>
        </is>
      </c>
    </row>
    <row r="14">
      <c r="A14" s="2" t="inlineStr"/>
    </row>
    <row r="15">
      <c r="A15" s="2" t="inlineStr">
        <is>
          <t>Not confirmed yet (will be updated): the foreign director ID format (A1234567x used), and the LLP screen (not in the eSimulator guide).</t>
        </is>
      </c>
    </row>
    <row r="16">
      <c r="A16" s="2" t="inlineStr">
        <is>
          <t>Business Trading (CH7 Sabah, CH8 Sarawak) has no eSim setup — fill only its TIN in tab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12" customWidth="1" min="4" max="4"/>
    <col width="26" customWidth="1" min="5" max="5"/>
    <col width="24" customWidth="1" min="6" max="6"/>
    <col width="18" customWidth="1" min="7" max="7"/>
    <col width="18" customWidth="1" min="8" max="8"/>
    <col width="12" customWidth="1" min="9" max="9"/>
    <col width="26" customWidth="1" min="10" max="10"/>
    <col width="20" customWidth="1" min="11" max="11"/>
    <col width="10" customWidth="1" min="12" max="12"/>
  </cols>
  <sheetData>
    <row r="1">
      <c r="A1" s="3" t="inlineStr">
        <is>
          <t>Fill the YELLOW cells only. Green = worked out for you.</t>
        </is>
      </c>
    </row>
    <row r="3">
      <c r="A3" s="4" t="inlineStr">
        <is>
          <t>No</t>
        </is>
      </c>
      <c r="B3" s="4" t="inlineStr">
        <is>
          <t>Robot run</t>
        </is>
      </c>
      <c r="C3" s="4" t="inlineStr">
        <is>
          <t>Company type</t>
        </is>
      </c>
      <c r="D3" s="4" t="inlineStr">
        <is>
          <t>TIN must start with</t>
        </is>
      </c>
      <c r="E3" s="4" t="inlineStr">
        <is>
          <t>People (robot expects)</t>
        </is>
      </c>
      <c r="F3" s="4" t="inlineStr">
        <is>
          <t>ROC / ROB No. (with letter)</t>
        </is>
      </c>
      <c r="G3" s="4" t="inlineStr">
        <is>
          <t>New 12-digit No.</t>
        </is>
      </c>
      <c r="H3" s="4" t="inlineStr">
        <is>
          <t>TIN</t>
        </is>
      </c>
      <c r="I3" s="4" t="inlineStr">
        <is>
          <t>Row in checker sheet</t>
        </is>
      </c>
      <c r="J3" s="4" t="inlineStr">
        <is>
          <t>Remarks</t>
        </is>
      </c>
      <c r="K3" s="5" t="inlineStr">
        <is>
          <t>eSim Roc (no letter)</t>
        </is>
      </c>
      <c r="L3" s="5" t="inlineStr">
        <is>
          <t>Check letter</t>
        </is>
      </c>
    </row>
    <row r="4">
      <c r="A4" s="6" t="n">
        <v>1</v>
      </c>
      <c r="B4" s="6" t="inlineStr">
        <is>
          <t>CH1</t>
        </is>
      </c>
      <c r="C4" s="6" t="inlineStr">
        <is>
          <t>Sdn Bhd / Bhd</t>
        </is>
      </c>
      <c r="D4" s="6" t="inlineStr">
        <is>
          <t>C</t>
        </is>
      </c>
      <c r="E4" s="6" t="inlineStr">
        <is>
          <t>4 Malaysian</t>
        </is>
      </c>
      <c r="F4" s="7" t="n"/>
      <c r="G4" s="7" t="n"/>
      <c r="H4" s="7" t="n"/>
      <c r="I4" s="7" t="n"/>
      <c r="J4" s="6" t="inlineStr">
        <is>
          <t>MAIN TEST — run first</t>
        </is>
      </c>
      <c r="K4" s="8">
        <f>IF(F4="","",IF(AND(LEN(F4)&gt;2,MID(F4,LEN(F4)-1,1)="-",ISERROR(VALUE(RIGHT(F4,1)))),LEFT(F4,LEN(F4)-2),F4))</f>
        <v/>
      </c>
      <c r="L4" s="8">
        <f>IF(OR(F4="",K4=F4),"",RIGHT(F4,1))</f>
        <v/>
      </c>
    </row>
    <row r="5">
      <c r="A5" s="6" t="n">
        <v>2</v>
      </c>
      <c r="B5" s="6" t="inlineStr">
        <is>
          <t>CH2</t>
        </is>
      </c>
      <c r="C5" s="6" t="inlineStr">
        <is>
          <t>Sdn Bhd / Bhd</t>
        </is>
      </c>
      <c r="D5" s="6" t="inlineStr">
        <is>
          <t>C</t>
        </is>
      </c>
      <c r="E5" s="6" t="inlineStr">
        <is>
          <t>2 Malaysian + 1 foreigner</t>
        </is>
      </c>
      <c r="F5" s="7" t="n"/>
      <c r="G5" s="7" t="n"/>
      <c r="H5" s="7" t="n"/>
      <c r="I5" s="7" t="n"/>
      <c r="J5" s="6" t="inlineStr">
        <is>
          <t>Has 1 foreign director</t>
        </is>
      </c>
      <c r="K5" s="8">
        <f>IF(F5="","",IF(AND(LEN(F5)&gt;2,MID(F5,LEN(F5)-1,1)="-",ISERROR(VALUE(RIGHT(F5,1)))),LEFT(F5,LEN(F5)-2),F5))</f>
        <v/>
      </c>
      <c r="L5" s="8">
        <f>IF(OR(F5="",K5=F5),"",RIGHT(F5,1))</f>
        <v/>
      </c>
    </row>
    <row r="6">
      <c r="A6" s="6" t="n">
        <v>3</v>
      </c>
      <c r="B6" s="6" t="inlineStr">
        <is>
          <t>CH3</t>
        </is>
      </c>
      <c r="C6" s="6" t="inlineStr">
        <is>
          <t>Sole Prop / Partnership</t>
        </is>
      </c>
      <c r="D6" s="6" t="inlineStr">
        <is>
          <t>D</t>
        </is>
      </c>
      <c r="E6" s="6" t="inlineStr">
        <is>
          <t>4 Malaysian</t>
        </is>
      </c>
      <c r="F6" s="7" t="n"/>
      <c r="G6" s="7" t="n"/>
      <c r="H6" s="7" t="n"/>
      <c r="I6" s="7" t="n"/>
      <c r="J6" s="6" t="inlineStr"/>
      <c r="K6" s="8">
        <f>IF(F6="","",IF(AND(LEN(F6)&gt;2,MID(F6,LEN(F6)-1,1)="-",ISERROR(VALUE(RIGHT(F6,1)))),LEFT(F6,LEN(F6)-2),F6))</f>
        <v/>
      </c>
      <c r="L6" s="8">
        <f>IF(OR(F6="",K6=F6),"",RIGHT(F6,1))</f>
        <v/>
      </c>
    </row>
    <row r="7">
      <c r="A7" s="6" t="n">
        <v>4</v>
      </c>
      <c r="B7" s="6" t="inlineStr">
        <is>
          <t>CH4</t>
        </is>
      </c>
      <c r="C7" s="6" t="inlineStr">
        <is>
          <t>Sole Prop / Partnership</t>
        </is>
      </c>
      <c r="D7" s="6" t="inlineStr">
        <is>
          <t>D</t>
        </is>
      </c>
      <c r="E7" s="6" t="inlineStr">
        <is>
          <t>5 Malaysian</t>
        </is>
      </c>
      <c r="F7" s="7" t="n"/>
      <c r="G7" s="7" t="n"/>
      <c r="H7" s="7" t="n"/>
      <c r="I7" s="7" t="n"/>
      <c r="J7" s="6" t="inlineStr"/>
      <c r="K7" s="8">
        <f>IF(F7="","",IF(AND(LEN(F7)&gt;2,MID(F7,LEN(F7)-1,1)="-",ISERROR(VALUE(RIGHT(F7,1)))),LEFT(F7,LEN(F7)-2),F7))</f>
        <v/>
      </c>
      <c r="L7" s="8">
        <f>IF(OR(F7="",K7=F7),"",RIGHT(F7,1))</f>
        <v/>
      </c>
    </row>
    <row r="8">
      <c r="A8" s="6" t="n">
        <v>5</v>
      </c>
      <c r="B8" s="6" t="inlineStr">
        <is>
          <t>CH5</t>
        </is>
      </c>
      <c r="C8" s="6" t="inlineStr">
        <is>
          <t>Sole Prop / Partnership</t>
        </is>
      </c>
      <c r="D8" s="6" t="inlineStr">
        <is>
          <t>D (or IG)</t>
        </is>
      </c>
      <c r="E8" s="6" t="inlineStr">
        <is>
          <t>4 Malaysian</t>
        </is>
      </c>
      <c r="F8" s="7" t="n"/>
      <c r="G8" s="7" t="n"/>
      <c r="H8" s="7" t="n"/>
      <c r="I8" s="7" t="n"/>
      <c r="J8" s="6" t="inlineStr">
        <is>
          <t>Stops at Submitted</t>
        </is>
      </c>
      <c r="K8" s="8">
        <f>IF(F8="","",IF(AND(LEN(F8)&gt;2,MID(F8,LEN(F8)-1,1)="-",ISERROR(VALUE(RIGHT(F8,1)))),LEFT(F8,LEN(F8)-2),F8))</f>
        <v/>
      </c>
      <c r="L8" s="8">
        <f>IF(OR(F8="",K8=F8),"",RIGHT(F8,1))</f>
        <v/>
      </c>
    </row>
    <row r="9">
      <c r="A9" s="6" t="n">
        <v>6</v>
      </c>
      <c r="B9" s="6" t="inlineStr">
        <is>
          <t>CH6</t>
        </is>
      </c>
      <c r="C9" s="6" t="inlineStr">
        <is>
          <t>LLP</t>
        </is>
      </c>
      <c r="D9" s="6" t="inlineStr">
        <is>
          <t>PT</t>
        </is>
      </c>
      <c r="E9" s="6" t="inlineStr">
        <is>
          <t>4 Malaysian</t>
        </is>
      </c>
      <c r="F9" s="7" t="n"/>
      <c r="G9" s="7" t="n"/>
      <c r="H9" s="7" t="n"/>
      <c r="I9" s="7" t="n"/>
      <c r="J9" s="6" t="inlineStr">
        <is>
          <t>Check LLP0035174-LGN first</t>
        </is>
      </c>
      <c r="K9" s="8">
        <f>IF(F9="","",IF(AND(LEN(F9)&gt;2,MID(F9,LEN(F9)-1,1)="-",ISERROR(VALUE(RIGHT(F9,1)))),LEFT(F9,LEN(F9)-2),F9))</f>
        <v/>
      </c>
      <c r="L9" s="8">
        <f>IF(OR(F9="",K9=F9),"",RIGHT(F9,1))</f>
        <v/>
      </c>
    </row>
    <row r="10">
      <c r="A10" s="6" t="n">
        <v>7</v>
      </c>
      <c r="B10" s="6" t="inlineStr">
        <is>
          <t>CH7</t>
        </is>
      </c>
      <c r="C10" s="6" t="inlineStr">
        <is>
          <t>Business Trading (Sabah)</t>
        </is>
      </c>
      <c r="D10" s="6" t="inlineStr">
        <is>
          <t>TIN only</t>
        </is>
      </c>
      <c r="E10" s="6" t="inlineStr">
        <is>
          <t>2 directors (robot types them)</t>
        </is>
      </c>
      <c r="F10" s="7" t="n"/>
      <c r="G10" s="7" t="n"/>
      <c r="H10" s="7" t="n"/>
      <c r="I10" s="7" t="n"/>
      <c r="J10" s="6" t="inlineStr">
        <is>
          <t>No eSim. Fill ONLY the TIN cell.</t>
        </is>
      </c>
      <c r="K10" s="8">
        <f>IF(F10="","",IF(AND(LEN(F10)&gt;2,MID(F10,LEN(F10)-1,1)="-",ISERROR(VALUE(RIGHT(F10,1)))),LEFT(F10,LEN(F10)-2),F10))</f>
        <v/>
      </c>
      <c r="L10" s="8">
        <f>IF(OR(F10="",K10=F10),"",RIGHT(F10,1))</f>
        <v/>
      </c>
    </row>
    <row r="11">
      <c r="A11" s="6" t="n">
        <v>8</v>
      </c>
      <c r="B11" s="6" t="inlineStr">
        <is>
          <t>CH8</t>
        </is>
      </c>
      <c r="C11" s="6" t="inlineStr">
        <is>
          <t>Business Trading (Sarawak)</t>
        </is>
      </c>
      <c r="D11" s="6" t="inlineStr">
        <is>
          <t>TIN only</t>
        </is>
      </c>
      <c r="E11" s="6" t="inlineStr">
        <is>
          <t>2 directors (robot types them)</t>
        </is>
      </c>
      <c r="F11" s="7" t="n"/>
      <c r="G11" s="7" t="n"/>
      <c r="H11" s="7" t="n"/>
      <c r="I11" s="7" t="n"/>
      <c r="J11" s="6" t="inlineStr">
        <is>
          <t>No eSim. Fill ONLY the TIN cell.</t>
        </is>
      </c>
      <c r="K11" s="8">
        <f>IF(F11="","",IF(AND(LEN(F11)&gt;2,MID(F11,LEN(F11)-1,1)="-",ISERROR(VALUE(RIGHT(F11,1)))),LEFT(F11,LEN(F11)-2),F11))</f>
        <v/>
      </c>
      <c r="L11" s="8">
        <f>IF(OR(F11="",K11=F11),"",RIGHT(F11,1))</f>
        <v/>
      </c>
    </row>
    <row r="12">
      <c r="A12" s="6" t="n">
        <v>9</v>
      </c>
      <c r="B12" s="6" t="inlineStr">
        <is>
          <t>Spare 1</t>
        </is>
      </c>
      <c r="C12" s="6" t="inlineStr">
        <is>
          <t>Sdn Bhd / Bhd</t>
        </is>
      </c>
      <c r="D12" s="6" t="inlineStr">
        <is>
          <t>C</t>
        </is>
      </c>
      <c r="E12" s="6" t="inlineStr">
        <is>
          <t>—</t>
        </is>
      </c>
      <c r="F12" s="7" t="n"/>
      <c r="G12" s="7" t="n"/>
      <c r="H12" s="7" t="n"/>
      <c r="I12" s="7" t="n"/>
      <c r="J12" s="6" t="inlineStr">
        <is>
          <t>Only if a run fails</t>
        </is>
      </c>
      <c r="K12" s="8">
        <f>IF(F12="","",IF(AND(LEN(F12)&gt;2,MID(F12,LEN(F12)-1,1)="-",ISERROR(VALUE(RIGHT(F12,1)))),LEFT(F12,LEN(F12)-2),F12))</f>
        <v/>
      </c>
      <c r="L12" s="8">
        <f>IF(OR(F12="",K12=F12),"",RIGHT(F12,1))</f>
        <v/>
      </c>
    </row>
    <row r="13">
      <c r="A13" s="6" t="n">
        <v>10</v>
      </c>
      <c r="B13" s="6" t="inlineStr">
        <is>
          <t>Spare 2</t>
        </is>
      </c>
      <c r="C13" s="6" t="inlineStr">
        <is>
          <t>Sole Prop / Partnership</t>
        </is>
      </c>
      <c r="D13" s="6" t="inlineStr">
        <is>
          <t>D</t>
        </is>
      </c>
      <c r="E13" s="6" t="inlineStr">
        <is>
          <t>—</t>
        </is>
      </c>
      <c r="F13" s="7" t="n"/>
      <c r="G13" s="7" t="n"/>
      <c r="H13" s="7" t="n"/>
      <c r="I13" s="7" t="n"/>
      <c r="J13" s="6" t="inlineStr">
        <is>
          <t>Only if a run fails</t>
        </is>
      </c>
      <c r="K13" s="8">
        <f>IF(F13="","",IF(AND(LEN(F13)&gt;2,MID(F13,LEN(F13)-1,1)="-",ISERROR(VALUE(RIGHT(F13,1)))),LEFT(F13,LEN(F13)-2),F13))</f>
        <v/>
      </c>
      <c r="L13" s="8">
        <f>IF(OR(F13="",K13=F13),"",RIGHT(F13,1))</f>
        <v/>
      </c>
    </row>
    <row r="14">
      <c r="A14" s="6" t="n">
        <v>11</v>
      </c>
      <c r="B14" s="6" t="inlineStr">
        <is>
          <t>Spare 3</t>
        </is>
      </c>
      <c r="C14" s="6" t="inlineStr">
        <is>
          <t>Sole Prop / Partnership</t>
        </is>
      </c>
      <c r="D14" s="6" t="inlineStr">
        <is>
          <t>D</t>
        </is>
      </c>
      <c r="E14" s="6" t="inlineStr">
        <is>
          <t>—</t>
        </is>
      </c>
      <c r="F14" s="7" t="n"/>
      <c r="G14" s="7" t="n"/>
      <c r="H14" s="7" t="n"/>
      <c r="I14" s="7" t="n"/>
      <c r="J14" s="6" t="inlineStr">
        <is>
          <t>Only if a run fails</t>
        </is>
      </c>
      <c r="K14" s="8">
        <f>IF(F14="","",IF(AND(LEN(F14)&gt;2,MID(F14,LEN(F14)-1,1)="-",ISERROR(VALUE(RIGHT(F14,1)))),LEFT(F14,LEN(F14)-2),F14))</f>
        <v/>
      </c>
      <c r="L14" s="8">
        <f>IF(OR(F14="",K14=F14),"",RIGHT(F14,1))</f>
        <v/>
      </c>
    </row>
    <row r="15">
      <c r="A15" s="6" t="n">
        <v>12</v>
      </c>
      <c r="B15" s="6" t="inlineStr">
        <is>
          <t>Spare 4</t>
        </is>
      </c>
      <c r="C15" s="6" t="inlineStr">
        <is>
          <t>LLP</t>
        </is>
      </c>
      <c r="D15" s="6" t="inlineStr">
        <is>
          <t>PT</t>
        </is>
      </c>
      <c r="E15" s="6" t="inlineStr">
        <is>
          <t>—</t>
        </is>
      </c>
      <c r="F15" s="7" t="n"/>
      <c r="G15" s="7" t="n"/>
      <c r="H15" s="7" t="n"/>
      <c r="I15" s="7" t="n"/>
      <c r="J15" s="6" t="inlineStr">
        <is>
          <t>If available</t>
        </is>
      </c>
      <c r="K15" s="8">
        <f>IF(F15="","",IF(AND(LEN(F15)&gt;2,MID(F15,LEN(F15)-1,1)="-",ISERROR(VALUE(RIGHT(F15,1)))),LEFT(F15,LEN(F15)-2),F15))</f>
        <v/>
      </c>
      <c r="L15" s="8">
        <f>IF(OR(F15="",K15=F15),"",RIGHT(F15,1))</f>
        <v/>
      </c>
    </row>
    <row r="17">
      <c r="A17" s="9" t="inlineStr">
        <is>
          <t>e.g.</t>
        </is>
      </c>
      <c r="B17" s="9" t="inlineStr">
        <is>
          <t>EXAMPLE</t>
        </is>
      </c>
      <c r="C17" s="9" t="inlineStr">
        <is>
          <t>Sdn Bhd / Bhd</t>
        </is>
      </c>
      <c r="D17" s="9" t="inlineStr">
        <is>
          <t>C</t>
        </is>
      </c>
      <c r="E17" s="9" t="inlineStr">
        <is>
          <t>—</t>
        </is>
      </c>
      <c r="F17" s="9" t="inlineStr">
        <is>
          <t>639691-H</t>
        </is>
      </c>
      <c r="G17" s="9" t="inlineStr">
        <is>
          <t>200401001188</t>
        </is>
      </c>
      <c r="H17" s="9" t="inlineStr">
        <is>
          <t>C11400448100</t>
        </is>
      </c>
      <c r="I17" s="9" t="n">
        <v>21</v>
      </c>
      <c r="J17" s="9" t="inlineStr">
        <is>
          <t>EXAMPLE ONLY — format, do not use</t>
        </is>
      </c>
      <c r="K17" s="9" t="inlineStr">
        <is>
          <t>639691</t>
        </is>
      </c>
      <c r="L17" s="9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CH1 — Sdn Bhd / Bhd — MAIN TEST — run first</t>
        </is>
      </c>
    </row>
    <row r="2">
      <c r="A2" s="2" t="inlineStr">
        <is>
          <t>Company name the robot types: QA 12341 CH1 SDN BHD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Companies'!K4="","(fill tab 1 first)",'1 Companies'!K4)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Companies'!F4="","(fill tab 1 first)",IF('1 Companies'!L4="","(leave empty)",'1 Companies'!L4))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Companies'!G4="","(fill tab 1 first)",'1 Companies'!G4)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CH1 SDN BHD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Roc Submission Resp'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Companies'!K4="","(fill tab 1 first)",'1 Companies'!K4)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Companies'!F4="","(fill tab 1 first)",IF('1 Companies'!L4="","(leave empty)",'1 Companies'!L4))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Companies'!G4="","(fill tab 1 first)",'1 Companies'!G4)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CH1 SDN BHD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text box 'Page 1': change ONLY these tags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&lt;REF_NO&gt;</t>
        </is>
      </c>
      <c r="B24" s="8">
        <f>"&lt;REF_NO&gt;"&amp;IF('1 Companies'!F4="","(fill tab 1 first)",'1 Companies'!F4)&amp;"&lt;/REF_NO&gt;"</f>
        <v/>
      </c>
      <c r="C24" s="6" t="inlineStr">
        <is>
          <t>Number WITH the letter</t>
        </is>
      </c>
    </row>
    <row r="25">
      <c r="A25" s="6" t="inlineStr">
        <is>
          <t>&lt;NEW_REF_NO&gt;</t>
        </is>
      </c>
      <c r="B25" s="8">
        <f>"&lt;NEW_REF_NO&gt;"&amp;IF('1 Companies'!G4="","(fill tab 1 first)",'1 Companies'!G4)&amp;"&lt;/NEW_REF_NO&gt;"</f>
        <v/>
      </c>
      <c r="C25" s="6" t="inlineStr"/>
    </row>
    <row r="26">
      <c r="A26" s="6" t="inlineStr">
        <is>
          <t>&lt;ROC_STATUS&gt;</t>
        </is>
      </c>
      <c r="B26" s="6" t="inlineStr">
        <is>
          <t>&lt;ROC_STATUS&gt;EXISTING&lt;/ROC_STATUS&gt;</t>
        </is>
      </c>
      <c r="C26" s="6" t="inlineStr"/>
    </row>
    <row r="28">
      <c r="A28" s="10" t="inlineStr">
        <is>
          <t>Part B — text box 'Page 3': exactly 4 director blocks (designation DIRECTOR)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&lt;IC&gt; (with dashes)</t>
        </is>
      </c>
      <c r="B31" s="6" t="inlineStr">
        <is>
          <t>690501-13-7631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&lt;IC&gt; (with dashes)</t>
        </is>
      </c>
      <c r="B33" s="6" t="inlineStr">
        <is>
          <t>690502-13-7632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Malaysian</t>
        </is>
      </c>
    </row>
    <row r="35">
      <c r="A35" s="6" t="inlineStr">
        <is>
          <t>Person C — &lt;IC&gt; (with dashes)</t>
        </is>
      </c>
      <c r="B35" s="6" t="inlineStr">
        <is>
          <t>690503-13-7633</t>
        </is>
      </c>
      <c r="C35" s="6" t="inlineStr"/>
    </row>
    <row r="36">
      <c r="A36" s="6" t="inlineStr">
        <is>
          <t>Person D — name</t>
        </is>
      </c>
      <c r="B36" s="6" t="inlineStr">
        <is>
          <t>QA DIRECTOR D</t>
        </is>
      </c>
      <c r="C36" s="6" t="inlineStr">
        <is>
          <t>Malaysian</t>
        </is>
      </c>
    </row>
    <row r="37">
      <c r="A37" s="6" t="inlineStr">
        <is>
          <t>Person D — &lt;IC&gt; (with dashes)</t>
        </is>
      </c>
      <c r="B37" s="6" t="inlineStr">
        <is>
          <t>690504-13-7634</t>
        </is>
      </c>
      <c r="C37" s="6" t="inlineStr"/>
    </row>
    <row r="39">
      <c r="A39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CH2 — Sdn Bhd / Bhd — Has 1 foreign director</t>
        </is>
      </c>
    </row>
    <row r="2">
      <c r="A2" s="2" t="inlineStr">
        <is>
          <t>Company name the robot types: QA 12341 CH2 SDN BHD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Companies'!K5="","(fill tab 1 first)",'1 Companies'!K5)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Companies'!F5="","(fill tab 1 first)",IF('1 Companies'!L5="","(leave empty)",'1 Companies'!L5))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Companies'!G5="","(fill tab 1 first)",'1 Companies'!G5)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CH2 SDN BHD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Roc Submission Resp'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Companies'!K5="","(fill tab 1 first)",'1 Companies'!K5)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Companies'!F5="","(fill tab 1 first)",IF('1 Companies'!L5="","(leave empty)",'1 Companies'!L5))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Companies'!G5="","(fill tab 1 first)",'1 Companies'!G5)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CH2 SDN BHD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text box 'Page 1': change ONLY these tags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&lt;REF_NO&gt;</t>
        </is>
      </c>
      <c r="B24" s="8">
        <f>"&lt;REF_NO&gt;"&amp;IF('1 Companies'!F5="","(fill tab 1 first)",'1 Companies'!F5)&amp;"&lt;/REF_NO&gt;"</f>
        <v/>
      </c>
      <c r="C24" s="6" t="inlineStr">
        <is>
          <t>Number WITH the letter</t>
        </is>
      </c>
    </row>
    <row r="25">
      <c r="A25" s="6" t="inlineStr">
        <is>
          <t>&lt;NEW_REF_NO&gt;</t>
        </is>
      </c>
      <c r="B25" s="8">
        <f>"&lt;NEW_REF_NO&gt;"&amp;IF('1 Companies'!G5="","(fill tab 1 first)",'1 Companies'!G5)&amp;"&lt;/NEW_REF_NO&gt;"</f>
        <v/>
      </c>
      <c r="C25" s="6" t="inlineStr"/>
    </row>
    <row r="26">
      <c r="A26" s="6" t="inlineStr">
        <is>
          <t>&lt;ROC_STATUS&gt;</t>
        </is>
      </c>
      <c r="B26" s="6" t="inlineStr">
        <is>
          <t>&lt;ROC_STATUS&gt;EXISTING&lt;/ROC_STATUS&gt;</t>
        </is>
      </c>
      <c r="C26" s="6" t="inlineStr"/>
    </row>
    <row r="28">
      <c r="A28" s="10" t="inlineStr">
        <is>
          <t>Part B — text box 'Page 3': exactly 3 director blocks (designation DIRECTOR)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&lt;IC&gt; (with dashes)</t>
        </is>
      </c>
      <c r="B31" s="6" t="inlineStr">
        <is>
          <t>690501-13-7631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&lt;IC&gt; (with dashes)</t>
        </is>
      </c>
      <c r="B33" s="6" t="inlineStr">
        <is>
          <t>690502-13-7632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Foreign director — ID format to confirm</t>
        </is>
      </c>
    </row>
    <row r="35">
      <c r="A35" s="6" t="inlineStr">
        <is>
          <t>Person C — &lt;IC&gt; (with dashes)</t>
        </is>
      </c>
      <c r="B35" s="6" t="inlineStr">
        <is>
          <t>A12345672</t>
        </is>
      </c>
      <c r="C35" s="6" t="inlineStr"/>
    </row>
    <row r="37">
      <c r="A37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CH3 — Sole Prop / Partnership — set up just before running ch3</t>
        </is>
      </c>
    </row>
    <row r="2">
      <c r="A2" s="2" t="inlineStr">
        <is>
          <t>Company name the robot types: QA 12341 CH3 ENTERPRISE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Companies'!K6="","(fill tab 1 first)",'1 Companies'!K6)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Companies'!F6="","(fill tab 1 first)",IF('1 Companies'!L6="","(leave empty)",'1 Companies'!L6))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Companies'!G6="","(fill tab 1 first)",'1 Companies'!G6)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CH3 ENTERPRISE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Rob Submission Resp'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Companies'!K6="","(fill tab 1 first)",'1 Companies'!K6)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Companies'!F6="","(fill tab 1 first)",IF('1 Companies'!L6="","(leave empty)",'1 Companies'!L6))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Companies'!G6="","(fill tab 1 first)",'1 Companies'!G6)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CH3 ENTERPRISE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text box 'Business Info': change ONLY these tags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&lt;BUSINESS_REF_NO&gt;</t>
        </is>
      </c>
      <c r="B24" s="8">
        <f>"&lt;BUSINESS_REF_NO&gt;"&amp;IF('1 Companies'!F6="","(fill tab 1 first)",'1 Companies'!F6)&amp;"&lt;/BUSINESS_REF_NO&gt;"</f>
        <v/>
      </c>
      <c r="C24" s="6" t="inlineStr">
        <is>
          <t>Number WITH the letter</t>
        </is>
      </c>
    </row>
    <row r="25">
      <c r="A25" s="6" t="inlineStr">
        <is>
          <t>&lt;NEW_REF_NO&gt;</t>
        </is>
      </c>
      <c r="B25" s="8">
        <f>"&lt;NEW_REF_NO&gt;"&amp;IF('1 Companies'!G6="","(fill tab 1 first)",'1 Companies'!G6)&amp;"&lt;/NEW_REF_NO&gt;"</f>
        <v/>
      </c>
      <c r="C25" s="6" t="inlineStr"/>
    </row>
    <row r="26">
      <c r="A26" s="6" t="inlineStr">
        <is>
          <t>&lt;ROB_STATUS&gt;</t>
        </is>
      </c>
      <c r="B26" s="6" t="inlineStr">
        <is>
          <t>&lt;ROB_STATUS&gt;ACTIVE&lt;/ROB_STATUS&gt;</t>
        </is>
      </c>
      <c r="C26" s="6" t="inlineStr"/>
    </row>
    <row r="28">
      <c r="A28" s="10" t="inlineStr">
        <is>
          <t>Part B — text box 'Current Owner Info': exactly 4 owner blocks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&lt;IC_NEW&gt; (no dashes)</t>
        </is>
      </c>
      <c r="B31" s="6" t="inlineStr">
        <is>
          <t>690501137631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&lt;IC_NEW&gt; (no dashes)</t>
        </is>
      </c>
      <c r="B33" s="6" t="inlineStr">
        <is>
          <t>690502137632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Malaysian</t>
        </is>
      </c>
    </row>
    <row r="35">
      <c r="A35" s="6" t="inlineStr">
        <is>
          <t>Person C — &lt;IC_NEW&gt; (no dashes)</t>
        </is>
      </c>
      <c r="B35" s="6" t="inlineStr">
        <is>
          <t>690503137633</t>
        </is>
      </c>
      <c r="C35" s="6" t="inlineStr"/>
    </row>
    <row r="36">
      <c r="A36" s="6" t="inlineStr">
        <is>
          <t>Person D — name</t>
        </is>
      </c>
      <c r="B36" s="6" t="inlineStr">
        <is>
          <t>QA DIRECTOR D</t>
        </is>
      </c>
      <c r="C36" s="6" t="inlineStr">
        <is>
          <t>Malaysian</t>
        </is>
      </c>
    </row>
    <row r="37">
      <c r="A37" s="6" t="inlineStr">
        <is>
          <t>Person D — &lt;IC_NEW&gt; (no dashes)</t>
        </is>
      </c>
      <c r="B37" s="6" t="inlineStr">
        <is>
          <t>690504137634</t>
        </is>
      </c>
      <c r="C37" s="6" t="inlineStr"/>
    </row>
    <row r="39">
      <c r="A39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CH4 — Sole Prop / Partnership — set up just before running ch4</t>
        </is>
      </c>
    </row>
    <row r="2">
      <c r="A2" s="2" t="inlineStr">
        <is>
          <t>Company name the robot types: QA 12341 CH4 ENTERPRISE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Companies'!K7="","(fill tab 1 first)",'1 Companies'!K7)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Companies'!F7="","(fill tab 1 first)",IF('1 Companies'!L7="","(leave empty)",'1 Companies'!L7))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Companies'!G7="","(fill tab 1 first)",'1 Companies'!G7)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CH4 ENTERPRISE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Rob Submission Resp'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Companies'!K7="","(fill tab 1 first)",'1 Companies'!K7)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Companies'!F7="","(fill tab 1 first)",IF('1 Companies'!L7="","(leave empty)",'1 Companies'!L7))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Companies'!G7="","(fill tab 1 first)",'1 Companies'!G7)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CH4 ENTERPRISE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text box 'Business Info': change ONLY these tags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&lt;BUSINESS_REF_NO&gt;</t>
        </is>
      </c>
      <c r="B24" s="8">
        <f>"&lt;BUSINESS_REF_NO&gt;"&amp;IF('1 Companies'!F7="","(fill tab 1 first)",'1 Companies'!F7)&amp;"&lt;/BUSINESS_REF_NO&gt;"</f>
        <v/>
      </c>
      <c r="C24" s="6" t="inlineStr">
        <is>
          <t>Number WITH the letter</t>
        </is>
      </c>
    </row>
    <row r="25">
      <c r="A25" s="6" t="inlineStr">
        <is>
          <t>&lt;NEW_REF_NO&gt;</t>
        </is>
      </c>
      <c r="B25" s="8">
        <f>"&lt;NEW_REF_NO&gt;"&amp;IF('1 Companies'!G7="","(fill tab 1 first)",'1 Companies'!G7)&amp;"&lt;/NEW_REF_NO&gt;"</f>
        <v/>
      </c>
      <c r="C25" s="6" t="inlineStr"/>
    </row>
    <row r="26">
      <c r="A26" s="6" t="inlineStr">
        <is>
          <t>&lt;ROB_STATUS&gt;</t>
        </is>
      </c>
      <c r="B26" s="6" t="inlineStr">
        <is>
          <t>&lt;ROB_STATUS&gt;ACTIVE&lt;/ROB_STATUS&gt;</t>
        </is>
      </c>
      <c r="C26" s="6" t="inlineStr"/>
    </row>
    <row r="28">
      <c r="A28" s="10" t="inlineStr">
        <is>
          <t>Part B — text box 'Current Owner Info': exactly 5 owner blocks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&lt;IC_NEW&gt; (no dashes)</t>
        </is>
      </c>
      <c r="B31" s="6" t="inlineStr">
        <is>
          <t>690501137631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&lt;IC_NEW&gt; (no dashes)</t>
        </is>
      </c>
      <c r="B33" s="6" t="inlineStr">
        <is>
          <t>690502137632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Malaysian</t>
        </is>
      </c>
    </row>
    <row r="35">
      <c r="A35" s="6" t="inlineStr">
        <is>
          <t>Person C — &lt;IC_NEW&gt; (no dashes)</t>
        </is>
      </c>
      <c r="B35" s="6" t="inlineStr">
        <is>
          <t>690503137633</t>
        </is>
      </c>
      <c r="C35" s="6" t="inlineStr"/>
    </row>
    <row r="36">
      <c r="A36" s="6" t="inlineStr">
        <is>
          <t>Person D — name</t>
        </is>
      </c>
      <c r="B36" s="6" t="inlineStr">
        <is>
          <t>QA DIRECTOR D</t>
        </is>
      </c>
      <c r="C36" s="6" t="inlineStr">
        <is>
          <t>Malaysian</t>
        </is>
      </c>
    </row>
    <row r="37">
      <c r="A37" s="6" t="inlineStr">
        <is>
          <t>Person D — &lt;IC_NEW&gt; (no dashes)</t>
        </is>
      </c>
      <c r="B37" s="6" t="inlineStr">
        <is>
          <t>690504137634</t>
        </is>
      </c>
      <c r="C37" s="6" t="inlineStr"/>
    </row>
    <row r="38">
      <c r="A38" s="6" t="inlineStr">
        <is>
          <t>Person E — name</t>
        </is>
      </c>
      <c r="B38" s="6" t="inlineStr">
        <is>
          <t>QA DIRECTOR E</t>
        </is>
      </c>
      <c r="C38" s="6" t="inlineStr">
        <is>
          <t>Malaysian</t>
        </is>
      </c>
    </row>
    <row r="39">
      <c r="A39" s="6" t="inlineStr">
        <is>
          <t>Person E — &lt;IC_NEW&gt; (no dashes)</t>
        </is>
      </c>
      <c r="B39" s="6" t="inlineStr">
        <is>
          <t>690505137635</t>
        </is>
      </c>
      <c r="C39" s="6" t="inlineStr"/>
    </row>
    <row r="41">
      <c r="A41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CH5 — Sole Prop / Partnership — Stops at Submitted</t>
        </is>
      </c>
    </row>
    <row r="2">
      <c r="A2" s="2" t="inlineStr">
        <is>
          <t>Company name the robot types: QA 12341 CH5 ENTERPRISE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Companies'!K8="","(fill tab 1 first)",'1 Companies'!K8)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Companies'!F8="","(fill tab 1 first)",IF('1 Companies'!L8="","(leave empty)",'1 Companies'!L8))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Companies'!G8="","(fill tab 1 first)",'1 Companies'!G8)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CH5 ENTERPRISE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Rob Submission Resp'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Companies'!K8="","(fill tab 1 first)",'1 Companies'!K8)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Companies'!F8="","(fill tab 1 first)",IF('1 Companies'!L8="","(leave empty)",'1 Companies'!L8))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Companies'!G8="","(fill tab 1 first)",'1 Companies'!G8)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CH5 ENTERPRISE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text box 'Business Info': change ONLY these tags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&lt;BUSINESS_REF_NO&gt;</t>
        </is>
      </c>
      <c r="B24" s="8">
        <f>"&lt;BUSINESS_REF_NO&gt;"&amp;IF('1 Companies'!F8="","(fill tab 1 first)",'1 Companies'!F8)&amp;"&lt;/BUSINESS_REF_NO&gt;"</f>
        <v/>
      </c>
      <c r="C24" s="6" t="inlineStr">
        <is>
          <t>Number WITH the letter</t>
        </is>
      </c>
    </row>
    <row r="25">
      <c r="A25" s="6" t="inlineStr">
        <is>
          <t>&lt;NEW_REF_NO&gt;</t>
        </is>
      </c>
      <c r="B25" s="8">
        <f>"&lt;NEW_REF_NO&gt;"&amp;IF('1 Companies'!G8="","(fill tab 1 first)",'1 Companies'!G8)&amp;"&lt;/NEW_REF_NO&gt;"</f>
        <v/>
      </c>
      <c r="C25" s="6" t="inlineStr"/>
    </row>
    <row r="26">
      <c r="A26" s="6" t="inlineStr">
        <is>
          <t>&lt;ROB_STATUS&gt;</t>
        </is>
      </c>
      <c r="B26" s="6" t="inlineStr">
        <is>
          <t>&lt;ROB_STATUS&gt;ACTIVE&lt;/ROB_STATUS&gt;</t>
        </is>
      </c>
      <c r="C26" s="6" t="inlineStr"/>
    </row>
    <row r="28">
      <c r="A28" s="10" t="inlineStr">
        <is>
          <t>Part B — text box 'Current Owner Info': exactly 4 owner blocks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&lt;IC_NEW&gt; (no dashes)</t>
        </is>
      </c>
      <c r="B31" s="6" t="inlineStr">
        <is>
          <t>690501137631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&lt;IC_NEW&gt; (no dashes)</t>
        </is>
      </c>
      <c r="B33" s="6" t="inlineStr">
        <is>
          <t>690502137632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Malaysian</t>
        </is>
      </c>
    </row>
    <row r="35">
      <c r="A35" s="6" t="inlineStr">
        <is>
          <t>Person C — &lt;IC_NEW&gt; (no dashes)</t>
        </is>
      </c>
      <c r="B35" s="6" t="inlineStr">
        <is>
          <t>690503137633</t>
        </is>
      </c>
      <c r="C35" s="6" t="inlineStr"/>
    </row>
    <row r="36">
      <c r="A36" s="6" t="inlineStr">
        <is>
          <t>Person D — name</t>
        </is>
      </c>
      <c r="B36" s="6" t="inlineStr">
        <is>
          <t>QA DIRECTOR D</t>
        </is>
      </c>
      <c r="C36" s="6" t="inlineStr">
        <is>
          <t>Malaysian</t>
        </is>
      </c>
    </row>
    <row r="37">
      <c r="A37" s="6" t="inlineStr">
        <is>
          <t>Person D — &lt;IC_NEW&gt; (no dashes)</t>
        </is>
      </c>
      <c r="B37" s="6" t="inlineStr">
        <is>
          <t>690504137634</t>
        </is>
      </c>
      <c r="C37" s="6" t="inlineStr"/>
    </row>
    <row r="39">
      <c r="A39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8" customWidth="1" min="3" max="3"/>
  </cols>
  <sheetData>
    <row r="1">
      <c r="A1" s="1" t="inlineStr">
        <is>
          <t>CH6 — LLP — Check LLP0035174-LGN first</t>
        </is>
      </c>
    </row>
    <row r="2">
      <c r="A2" s="2" t="inlineStr">
        <is>
          <t>Company name the robot types: QA 12341 CH6 PLT</t>
        </is>
      </c>
    </row>
    <row r="4">
      <c r="A4" s="10" t="inlineStr">
        <is>
          <t>Part A — screen 'Ssm Enquiry Resp' (edit a record, then Save)</t>
        </is>
      </c>
    </row>
    <row r="5">
      <c r="A5" s="4" t="inlineStr">
        <is>
          <t>Field</t>
        </is>
      </c>
      <c r="B5" s="4" t="inlineStr">
        <is>
          <t>Type this</t>
        </is>
      </c>
      <c r="C5" s="4" t="inlineStr">
        <is>
          <t>Note</t>
        </is>
      </c>
    </row>
    <row r="6">
      <c r="A6" s="6" t="inlineStr">
        <is>
          <t>Response Code</t>
        </is>
      </c>
      <c r="B6" s="6" t="inlineStr">
        <is>
          <t>004</t>
        </is>
      </c>
      <c r="C6" s="6" t="inlineStr"/>
    </row>
    <row r="7">
      <c r="A7" s="6" t="inlineStr">
        <is>
          <t>Roc</t>
        </is>
      </c>
      <c r="B7" s="8">
        <f>IF('1 Companies'!K9="","(fill tab 1 first)",'1 Companies'!K9)</f>
        <v/>
      </c>
      <c r="C7" s="6" t="inlineStr">
        <is>
          <t>Number WITHOUT the letter</t>
        </is>
      </c>
    </row>
    <row r="8">
      <c r="A8" s="6" t="inlineStr">
        <is>
          <t>Check Digit (if the screen has it)</t>
        </is>
      </c>
      <c r="B8" s="8">
        <f>IF('1 Companies'!F9="","(fill tab 1 first)",IF('1 Companies'!L9="","(leave empty)",'1 Companies'!L9))</f>
        <v/>
      </c>
      <c r="C8" s="6" t="inlineStr">
        <is>
          <t>The letter only. Without it eAuto shows '-A'.</t>
        </is>
      </c>
    </row>
    <row r="9">
      <c r="A9" s="6" t="inlineStr">
        <is>
          <t>New Roc</t>
        </is>
      </c>
      <c r="B9" s="8">
        <f>IF('1 Companies'!G9="","(fill tab 1 first)",'1 Companies'!G9)</f>
        <v/>
      </c>
      <c r="C9" s="6" t="inlineStr">
        <is>
          <t>12 digits</t>
        </is>
      </c>
    </row>
    <row r="10">
      <c r="A10" s="6" t="inlineStr">
        <is>
          <t>Company Name</t>
        </is>
      </c>
      <c r="B10" s="6" t="inlineStr">
        <is>
          <t>QA 12341 CH6 PLT</t>
        </is>
      </c>
      <c r="C10" s="6" t="inlineStr">
        <is>
          <t>Same as the robot types</t>
        </is>
      </c>
    </row>
    <row r="11">
      <c r="A11" s="6" t="inlineStr">
        <is>
          <t>Delay</t>
        </is>
      </c>
      <c r="B11" s="6" t="inlineStr">
        <is>
          <t>0</t>
        </is>
      </c>
      <c r="C11" s="6" t="inlineStr"/>
    </row>
    <row r="13">
      <c r="A13" s="10" t="inlineStr">
        <is>
          <t>Part B — screen 'Ssm Llp Submission Resp (name to confirm)' (edit a record, then Save)</t>
        </is>
      </c>
    </row>
    <row r="14">
      <c r="A14" s="4" t="inlineStr">
        <is>
          <t>Field</t>
        </is>
      </c>
      <c r="B14" s="4" t="inlineStr">
        <is>
          <t>Type this</t>
        </is>
      </c>
      <c r="C14" s="4" t="inlineStr">
        <is>
          <t>Note</t>
        </is>
      </c>
    </row>
    <row r="15">
      <c r="A15" s="6" t="inlineStr">
        <is>
          <t>Response Code</t>
        </is>
      </c>
      <c r="B15" s="6" t="inlineStr">
        <is>
          <t>005</t>
        </is>
      </c>
      <c r="C15" s="6" t="inlineStr"/>
    </row>
    <row r="16">
      <c r="A16" s="6" t="inlineStr">
        <is>
          <t>Roc</t>
        </is>
      </c>
      <c r="B16" s="8">
        <f>IF('1 Companies'!K9="","(fill tab 1 first)",'1 Companies'!K9)</f>
        <v/>
      </c>
      <c r="C16" s="6" t="inlineStr">
        <is>
          <t>Same as Part A</t>
        </is>
      </c>
    </row>
    <row r="17">
      <c r="A17" s="6" t="inlineStr">
        <is>
          <t>Check Digit (if the screen has it)</t>
        </is>
      </c>
      <c r="B17" s="8">
        <f>IF('1 Companies'!F9="","(fill tab 1 first)",IF('1 Companies'!L9="","(leave empty)",'1 Companies'!L9))</f>
        <v/>
      </c>
      <c r="C17" s="6" t="inlineStr">
        <is>
          <t>Same as Part A</t>
        </is>
      </c>
    </row>
    <row r="18">
      <c r="A18" s="6" t="inlineStr">
        <is>
          <t>New Roc</t>
        </is>
      </c>
      <c r="B18" s="8">
        <f>IF('1 Companies'!G9="","(fill tab 1 first)",'1 Companies'!G9)</f>
        <v/>
      </c>
      <c r="C18" s="6" t="inlineStr">
        <is>
          <t>Same as Part A</t>
        </is>
      </c>
    </row>
    <row r="19">
      <c r="A19" s="6" t="inlineStr">
        <is>
          <t>Company Name</t>
        </is>
      </c>
      <c r="B19" s="6" t="inlineStr">
        <is>
          <t>QA 12341 CH6 PLT</t>
        </is>
      </c>
      <c r="C19" s="6" t="inlineStr"/>
    </row>
    <row r="20">
      <c r="A20" s="6" t="inlineStr">
        <is>
          <t>Backup Link</t>
        </is>
      </c>
      <c r="B20" s="6" t="inlineStr">
        <is>
          <t>https://cdn.eauto.my/FAQs_on_JPJeID_and_MyJPJ_App.pdf</t>
        </is>
      </c>
      <c r="C20" s="6" t="inlineStr">
        <is>
          <t>From the eSimulator guide</t>
        </is>
      </c>
    </row>
    <row r="22">
      <c r="A22" s="10" t="inlineStr">
        <is>
          <t>Part B — LLP is NOT in the eSimulator guide — send QA support a screenshot of one LLP record first</t>
        </is>
      </c>
    </row>
    <row r="23">
      <c r="A23" s="4" t="inlineStr">
        <is>
          <t>Field</t>
        </is>
      </c>
      <c r="B23" s="4" t="inlineStr">
        <is>
          <t>Type this</t>
        </is>
      </c>
      <c r="C23" s="4" t="inlineStr">
        <is>
          <t>Note</t>
        </is>
      </c>
    </row>
    <row r="24">
      <c r="A24" s="6" t="inlineStr">
        <is>
          <t>Registration number tag</t>
        </is>
      </c>
      <c r="B24" s="8">
        <f>IF('1 Companies'!F9="","(fill tab 1 first)",'1 Companies'!F9)</f>
        <v/>
      </c>
      <c r="C24" s="6" t="inlineStr">
        <is>
          <t>Whatever tag holds the LLP number — WITH '-LGN'</t>
        </is>
      </c>
    </row>
    <row r="25">
      <c r="A25" s="6" t="inlineStr">
        <is>
          <t>New number tag</t>
        </is>
      </c>
      <c r="B25" s="8">
        <f>IF('1 Companies'!G9="","(fill tab 1 first)",'1 Companies'!G9)</f>
        <v/>
      </c>
      <c r="C25" s="6" t="inlineStr"/>
    </row>
    <row r="26">
      <c r="A26" s="6" t="inlineStr">
        <is>
          <t>Status tag</t>
        </is>
      </c>
      <c r="B26" s="6" t="inlineStr">
        <is>
          <t>active / existing</t>
        </is>
      </c>
      <c r="C26" s="6" t="inlineStr">
        <is>
          <t>Same idea as ROB / ROC — confirm on the screenshot</t>
        </is>
      </c>
    </row>
    <row r="28">
      <c r="A28" s="10" t="inlineStr">
        <is>
          <t>Part B — text box 'Involvements': exactly 4 partner blocks (type PT, no compliance officer)</t>
        </is>
      </c>
    </row>
    <row r="29">
      <c r="A29" s="4" t="inlineStr">
        <is>
          <t>Field</t>
        </is>
      </c>
      <c r="B29" s="4" t="inlineStr">
        <is>
          <t>Type this</t>
        </is>
      </c>
      <c r="C29" s="4" t="inlineStr">
        <is>
          <t>Note</t>
        </is>
      </c>
    </row>
    <row r="30">
      <c r="A30" s="6" t="inlineStr">
        <is>
          <t>Person A — name</t>
        </is>
      </c>
      <c r="B30" s="6" t="inlineStr">
        <is>
          <t>QA DIRECTOR A</t>
        </is>
      </c>
      <c r="C30" s="6" t="inlineStr">
        <is>
          <t>Malaysian</t>
        </is>
      </c>
    </row>
    <row r="31">
      <c r="A31" s="6" t="inlineStr">
        <is>
          <t>Person A — IC (no dashes)</t>
        </is>
      </c>
      <c r="B31" s="6" t="inlineStr">
        <is>
          <t>690501137631</t>
        </is>
      </c>
      <c r="C31" s="6" t="inlineStr"/>
    </row>
    <row r="32">
      <c r="A32" s="6" t="inlineStr">
        <is>
          <t>Person B — name</t>
        </is>
      </c>
      <c r="B32" s="6" t="inlineStr">
        <is>
          <t>QA DIRECTOR B</t>
        </is>
      </c>
      <c r="C32" s="6" t="inlineStr">
        <is>
          <t>Malaysian</t>
        </is>
      </c>
    </row>
    <row r="33">
      <c r="A33" s="6" t="inlineStr">
        <is>
          <t>Person B — IC (no dashes)</t>
        </is>
      </c>
      <c r="B33" s="6" t="inlineStr">
        <is>
          <t>690502137632</t>
        </is>
      </c>
      <c r="C33" s="6" t="inlineStr"/>
    </row>
    <row r="34">
      <c r="A34" s="6" t="inlineStr">
        <is>
          <t>Person C — name</t>
        </is>
      </c>
      <c r="B34" s="6" t="inlineStr">
        <is>
          <t>QA DIRECTOR C</t>
        </is>
      </c>
      <c r="C34" s="6" t="inlineStr">
        <is>
          <t>Malaysian</t>
        </is>
      </c>
    </row>
    <row r="35">
      <c r="A35" s="6" t="inlineStr">
        <is>
          <t>Person C — IC (no dashes)</t>
        </is>
      </c>
      <c r="B35" s="6" t="inlineStr">
        <is>
          <t>690503137633</t>
        </is>
      </c>
      <c r="C35" s="6" t="inlineStr"/>
    </row>
    <row r="36">
      <c r="A36" s="6" t="inlineStr">
        <is>
          <t>Person D — name</t>
        </is>
      </c>
      <c r="B36" s="6" t="inlineStr">
        <is>
          <t>QA DIRECTOR D</t>
        </is>
      </c>
      <c r="C36" s="6" t="inlineStr">
        <is>
          <t>Malaysian</t>
        </is>
      </c>
    </row>
    <row r="37">
      <c r="A37" s="6" t="inlineStr">
        <is>
          <t>Person D — IC (no dashes)</t>
        </is>
      </c>
      <c r="B37" s="6" t="inlineStr">
        <is>
          <t>690504137634</t>
        </is>
      </c>
      <c r="C37" s="6" t="inlineStr"/>
    </row>
    <row r="39">
      <c r="A39" s="3" t="inlineStr">
        <is>
          <t>Then: Save, tell QA support 'eSim ready', and run the robot.</t>
        </is>
      </c>
    </row>
  </sheetData>
  <mergeCells count="4">
    <mergeCell ref="A28:C28"/>
    <mergeCell ref="A4:C4"/>
    <mergeCell ref="A13:C13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2026-10-02T03:25:26Z</dcterms:created>
  <dcterms:modified xsi:type="dcterms:W3CDTF">2026-10-02T03:25:26Z</dcterms:modified>
</cp:coreProperties>
</file>